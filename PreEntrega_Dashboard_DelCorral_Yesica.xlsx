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es!\Desktop\CODERHOUSE\EXCEL\NOVENA CLASE\"/>
    </mc:Choice>
  </mc:AlternateContent>
  <xr:revisionPtr revIDLastSave="0" documentId="13_ncr:1_{C4045611-FE13-416F-B1A0-1798F7108EFD}" xr6:coauthVersionLast="47" xr6:coauthVersionMax="47" xr10:uidLastSave="{00000000-0000-0000-0000-000000000000}"/>
  <bookViews>
    <workbookView xWindow="-108" yWindow="-108" windowWidth="23256" windowHeight="12456" firstSheet="3" activeTab="4" xr2:uid="{A0DB9601-9506-4645-9634-5DB6E106133D}"/>
  </bookViews>
  <sheets>
    <sheet name="Hechos" sheetId="2" r:id="rId1"/>
    <sheet name="Dim_Clientes" sheetId="6" r:id="rId2"/>
    <sheet name="Dim_Productos" sheetId="5" r:id="rId3"/>
    <sheet name="Tablas_Dinamicas" sheetId="10" r:id="rId4"/>
    <sheet name="Dashboard_ Final" sheetId="11" r:id="rId5"/>
    <sheet name="Apoyo" sheetId="12" r:id="rId6"/>
  </sheets>
  <definedNames>
    <definedName name="_xlchart.v1.0" hidden="1">Tablas_Dinamicas!$J$10:$J$12</definedName>
    <definedName name="_xlchart.v1.1" hidden="1">Tablas_Dinamicas!$K$10:$K$12</definedName>
    <definedName name="_xlchart.v1.2" hidden="1">Tablas_Dinamicas!$J$10:$J$12</definedName>
    <definedName name="_xlchart.v1.3" hidden="1">Tablas_Dinamicas!$K$10:$K$12</definedName>
    <definedName name="_xlcn.WorksheetConnection_Libro2Dim_Clientes" hidden="1">Dim_Clientes[]</definedName>
    <definedName name="_xlcn.WorksheetConnection_Libro2Dim_Productos" hidden="1">Dim_Productos[]</definedName>
    <definedName name="_xlcn.WorksheetConnection_Libro2Hechos" hidden="1">Hechos[]</definedName>
    <definedName name="DatosExternos_1" localSheetId="0" hidden="1">Hechos!$A$1:$K$1001</definedName>
    <definedName name="DatosExternos_2" localSheetId="2" hidden="1">Dim_Productos!$A$1:$B$13</definedName>
    <definedName name="DatosExternos_3" localSheetId="1" hidden="1">Dim_Clientes!$A$1:$C$952</definedName>
    <definedName name="SegmentaciónDeDatos_Jerarquía_de_fechas">#N/A</definedName>
    <definedName name="SegmentaciónDeDatos_Tipo_de_producto">#N/A</definedName>
    <definedName name="SegmentaciónDeDatos_Zona">#N/A</definedName>
  </definedNames>
  <calcPr calcId="191029"/>
  <pivotCaches>
    <pivotCache cacheId="744" r:id="rId7"/>
    <pivotCache cacheId="745" r:id="rId8"/>
    <pivotCache cacheId="746" r:id="rId9"/>
    <pivotCache cacheId="747" r:id="rId10"/>
  </pivotCaches>
  <extLst>
    <ext xmlns:x14="http://schemas.microsoft.com/office/spreadsheetml/2009/9/main" uri="{876F7934-8845-4945-9796-88D515C7AA90}">
      <x14:pivotCaches>
        <pivotCache cacheId="748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echos" name="Hechos" connection="WorksheetConnection_Libro2!Hechos"/>
          <x15:modelTable id="Dim_Productos" name="Dim_Productos" connection="WorksheetConnection_Libro2!Dim_Productos"/>
          <x15:modelTable id="Dim_Clientes" name="Dim_Clientes" connection="WorksheetConnection_Libro2!Dim_Clientes"/>
          <x15:modelTable id="Calendario" name="Calendario" connection="Conexión"/>
        </x15:modelTables>
        <x15:modelRelationships>
          <x15:modelRelationship fromTable="Hechos" fromColumn="ID PRODUCTO" toTable="Dim_Productos" toColumn="ID"/>
          <x15:modelRelationship fromTable="Hechos" fromColumn="ID Cliente" toTable="Dim_Clientes" toColumn="ID Cliente"/>
          <x15:modelRelationship fromTable="Hechos" fromColumn="Fecha pedido" toTable="Calenda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2" i="11" l="1"/>
  <c r="B51" i="11"/>
  <c r="B50" i="11"/>
  <c r="K15" i="12" a="1"/>
  <c r="J15" i="12" a="1"/>
  <c r="I15" i="12" a="1"/>
  <c r="C27" i="12"/>
  <c r="E27" i="12" s="1"/>
  <c r="F27" i="12" s="1"/>
  <c r="D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C15" i="12"/>
  <c r="D15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F11" i="12"/>
  <c r="F10" i="12"/>
  <c r="D10" i="12"/>
  <c r="G9" i="12"/>
  <c r="E9" i="12"/>
  <c r="F9" i="12"/>
  <c r="F8" i="12"/>
  <c r="G8" i="12" s="1"/>
  <c r="D9" i="12"/>
  <c r="D8" i="12"/>
  <c r="E8" i="12" s="1"/>
  <c r="C9" i="12"/>
  <c r="C8" i="12"/>
  <c r="B9" i="12"/>
  <c r="B8" i="12"/>
  <c r="F7" i="12"/>
  <c r="D7" i="12"/>
  <c r="C7" i="12"/>
  <c r="B7" i="12"/>
  <c r="A9" i="12"/>
  <c r="A8" i="12"/>
  <c r="C4" i="12"/>
  <c r="R10" i="10"/>
  <c r="S10" i="10" s="1"/>
  <c r="H5" i="11" s="1"/>
  <c r="R9" i="10"/>
  <c r="S9" i="10" s="1"/>
  <c r="E5" i="11" s="1"/>
  <c r="R8" i="10"/>
  <c r="S8" i="10" s="1"/>
  <c r="B5" i="11" s="1"/>
  <c r="P8" i="10"/>
  <c r="B3" i="11" s="1"/>
  <c r="P9" i="10"/>
  <c r="E3" i="11" s="1"/>
  <c r="P10" i="10"/>
  <c r="H3" i="11" s="1"/>
  <c r="K11" i="10"/>
  <c r="K10" i="10"/>
  <c r="E26" i="12" l="1"/>
  <c r="G26" i="12" s="1"/>
  <c r="F26" i="12"/>
  <c r="E25" i="12"/>
  <c r="G25" i="12" s="1"/>
  <c r="F25" i="12"/>
  <c r="F24" i="12"/>
  <c r="E24" i="12"/>
  <c r="G24" i="12" s="1"/>
  <c r="E23" i="12"/>
  <c r="E22" i="12"/>
  <c r="E21" i="12"/>
  <c r="E20" i="12"/>
  <c r="E19" i="12"/>
  <c r="E18" i="12"/>
  <c r="E17" i="12"/>
  <c r="E16" i="12"/>
  <c r="E15" i="12"/>
  <c r="G15" i="12" s="1"/>
  <c r="F15" i="12"/>
  <c r="K12" i="10"/>
  <c r="G23" i="12" l="1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G27" i="12" s="1"/>
  <c r="F1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Yes!</author>
  </authors>
  <commentList>
    <comment ref="Q8" authorId="0" shapeId="0" xr:uid="{312F0B1A-A052-402D-B674-4674770B7F63}">
      <text>
        <r>
          <rPr>
            <b/>
            <sz val="9"/>
            <color indexed="81"/>
            <rFont val="Tahoma"/>
            <charset val="1"/>
          </rPr>
          <t>Yes!:</t>
        </r>
        <r>
          <rPr>
            <sz val="9"/>
            <color indexed="81"/>
            <rFont val="Tahoma"/>
            <charset val="1"/>
          </rPr>
          <t xml:space="preserve">
Meta de venta total (editable). Supuesto propuesto: ≥ $1.200 M.</t>
        </r>
      </text>
    </comment>
    <comment ref="Q9" authorId="0" shapeId="0" xr:uid="{4DBD650F-DBE4-4783-A336-7FF4B5EB5B17}">
      <text>
        <r>
          <rPr>
            <b/>
            <sz val="9"/>
            <color indexed="81"/>
            <rFont val="Tahoma"/>
            <charset val="1"/>
          </rPr>
          <t>Yes!:</t>
        </r>
        <r>
          <rPr>
            <sz val="9"/>
            <color indexed="81"/>
            <rFont val="Tahoma"/>
            <charset val="1"/>
          </rPr>
          <t xml:space="preserve">
Coste máximo aceptado (editable). Cumple si el coste es menor o igual.</t>
        </r>
      </text>
    </comment>
    <comment ref="Q10" authorId="0" shapeId="0" xr:uid="{2BAC4B6B-D526-4AC5-8AB5-C4B221F6AD8A}">
      <text>
        <r>
          <rPr>
            <b/>
            <sz val="9"/>
            <color indexed="81"/>
            <rFont val="Tahoma"/>
            <charset val="1"/>
          </rPr>
          <t>Yes!:</t>
        </r>
        <r>
          <rPr>
            <sz val="9"/>
            <color indexed="81"/>
            <rFont val="Tahoma"/>
            <charset val="1"/>
          </rPr>
          <t xml:space="preserve">
Meta de margen de ventas (editable).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F8BC7-0ACA-4C05-8CFB-1ED46AE9060C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F6BCD844-9ABA-4C51-88FA-CFE0D46C35E2}" keepAlive="1" name="Consulta - Dim_Clientes" description="Conexión a la consulta 'Dim_Clientes' en el libro." type="5" refreshedVersion="8" background="1" saveData="1">
    <dbPr connection="Provider=Microsoft.Mashup.OleDb.1;Data Source=$Workbook$;Location=Dim_Clientes;Extended Properties=&quot;&quot;" command="SELECT * FROM [Dim_Clientes]"/>
  </connection>
  <connection id="3" xr16:uid="{A80BA3A2-AADF-4A8D-89F0-45E391A1DCFD}" keepAlive="1" name="Consulta - Dim_Productos" description="Conexión a la consulta 'Dim_Productos' en el libro." type="5" refreshedVersion="8" background="1" saveData="1">
    <dbPr connection="Provider=Microsoft.Mashup.OleDb.1;Data Source=$Workbook$;Location=Dim_Productos;Extended Properties=&quot;&quot;" command="SELECT * FROM [Dim_Productos]"/>
  </connection>
  <connection id="4" xr16:uid="{AC39BDD8-ED2B-4349-AED4-A0E4A45603D6}" keepAlive="1" name="Consulta - Hechos" description="Conexión a la consulta 'Hechos' en el libro." type="5" refreshedVersion="8" background="1" saveData="1">
    <dbPr connection="Provider=Microsoft.Mashup.OleDb.1;Data Source=$Workbook$;Location=Hechos;Extended Properties=&quot;&quot;" command="SELECT * FROM [Hechos]"/>
  </connection>
  <connection id="5" xr16:uid="{38DD417D-0ECE-4F77-8556-55001B8C16F5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B99DC929-3E5B-4641-B803-E34899155207}" name="WorksheetConnection_Libro2!Dim_Clientes" type="102" refreshedVersion="8" minRefreshableVersion="5">
    <extLst>
      <ext xmlns:x15="http://schemas.microsoft.com/office/spreadsheetml/2010/11/main" uri="{DE250136-89BD-433C-8126-D09CA5730AF9}">
        <x15:connection id="Dim_Clientes">
          <x15:rangePr sourceName="_xlcn.WorksheetConnection_Libro2Dim_Clientes"/>
        </x15:connection>
      </ext>
    </extLst>
  </connection>
  <connection id="7" xr16:uid="{F1777766-5909-4E30-8B02-F95BCE3332DF}" name="WorksheetConnection_Libro2!Dim_Productos" type="102" refreshedVersion="8" minRefreshableVersion="5">
    <extLst>
      <ext xmlns:x15="http://schemas.microsoft.com/office/spreadsheetml/2010/11/main" uri="{DE250136-89BD-433C-8126-D09CA5730AF9}">
        <x15:connection id="Dim_Productos">
          <x15:rangePr sourceName="_xlcn.WorksheetConnection_Libro2Dim_Productos"/>
        </x15:connection>
      </ext>
    </extLst>
  </connection>
  <connection id="8" xr16:uid="{7FDA1E9F-9BC3-417A-A83D-721F4B5A0A2D}" name="WorksheetConnection_Libro2!Hechos" type="102" refreshedVersion="8" minRefreshableVersion="5">
    <extLst>
      <ext xmlns:x15="http://schemas.microsoft.com/office/spreadsheetml/2010/11/main" uri="{DE250136-89BD-433C-8126-D09CA5730AF9}">
        <x15:connection id="Hechos">
          <x15:rangePr sourceName="_xlcn.WorksheetConnection_Libro2Hecho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<sst xmlns="http://schemas.openxmlformats.org/spreadsheetml/2006/main" count="5976" uniqueCount="1237">
  <si>
    <t>ID Cliente</t>
  </si>
  <si>
    <t>ID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</si>
  <si>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</si>
  <si>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</si>
  <si>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</si>
  <si>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</si>
  <si>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</si>
  <si>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</si>
  <si>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</si>
  <si>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Importe venta total</t>
  </si>
  <si>
    <t>Importe Coste total</t>
  </si>
  <si>
    <t>C2421</t>
  </si>
  <si>
    <t>Crítica</t>
  </si>
  <si>
    <t>C1908</t>
  </si>
  <si>
    <t>Alta</t>
  </si>
  <si>
    <t>C7652</t>
  </si>
  <si>
    <t>C2326</t>
  </si>
  <si>
    <t>Baja</t>
  </si>
  <si>
    <t>C5305</t>
  </si>
  <si>
    <t>Media</t>
  </si>
  <si>
    <t>C5168</t>
  </si>
  <si>
    <t>C9197</t>
  </si>
  <si>
    <t>C2876</t>
  </si>
  <si>
    <t>C8394</t>
  </si>
  <si>
    <t>C8141</t>
  </si>
  <si>
    <t>C3212</t>
  </si>
  <si>
    <t>C8904</t>
  </si>
  <si>
    <t>C5218</t>
  </si>
  <si>
    <t>C4358</t>
  </si>
  <si>
    <t>C1229</t>
  </si>
  <si>
    <t>C4942</t>
  </si>
  <si>
    <t>C7310</t>
  </si>
  <si>
    <t>C5348</t>
  </si>
  <si>
    <t>C5778</t>
  </si>
  <si>
    <t>C2519</t>
  </si>
  <si>
    <t>C8199</t>
  </si>
  <si>
    <t>C4645</t>
  </si>
  <si>
    <t>C1390</t>
  </si>
  <si>
    <t>C4168</t>
  </si>
  <si>
    <t>C1418</t>
  </si>
  <si>
    <t>C4779</t>
  </si>
  <si>
    <t>C8598</t>
  </si>
  <si>
    <t>C3420</t>
  </si>
  <si>
    <t>C7497</t>
  </si>
  <si>
    <t>C8282</t>
  </si>
  <si>
    <t>C2932</t>
  </si>
  <si>
    <t>C2806</t>
  </si>
  <si>
    <t>C1968</t>
  </si>
  <si>
    <t>C8684</t>
  </si>
  <si>
    <t>C4923</t>
  </si>
  <si>
    <t>C4857</t>
  </si>
  <si>
    <t>C5362</t>
  </si>
  <si>
    <t>C8517</t>
  </si>
  <si>
    <t>C8103</t>
  </si>
  <si>
    <t>C3105</t>
  </si>
  <si>
    <t>C2211</t>
  </si>
  <si>
    <t>C1312</t>
  </si>
  <si>
    <t>C6003</t>
  </si>
  <si>
    <t>C9080</t>
  </si>
  <si>
    <t>C4045</t>
  </si>
  <si>
    <t>C7601</t>
  </si>
  <si>
    <t>C1154</t>
  </si>
  <si>
    <t>C7315</t>
  </si>
  <si>
    <t>C4396</t>
  </si>
  <si>
    <t>C2914</t>
  </si>
  <si>
    <t>C5088</t>
  </si>
  <si>
    <t>C9340</t>
  </si>
  <si>
    <t>C5795</t>
  </si>
  <si>
    <t>C7783</t>
  </si>
  <si>
    <t>C2335</t>
  </si>
  <si>
    <t>C8686</t>
  </si>
  <si>
    <t>C1774</t>
  </si>
  <si>
    <t>C6740</t>
  </si>
  <si>
    <t>C4428</t>
  </si>
  <si>
    <t>C7885</t>
  </si>
  <si>
    <t>C3863</t>
  </si>
  <si>
    <t>C2314</t>
  </si>
  <si>
    <t>C4896</t>
  </si>
  <si>
    <t>C9468</t>
  </si>
  <si>
    <t>C5594</t>
  </si>
  <si>
    <t>C6039</t>
  </si>
  <si>
    <t>C6272</t>
  </si>
  <si>
    <t>C6967</t>
  </si>
  <si>
    <t>C9498</t>
  </si>
  <si>
    <t>C2444</t>
  </si>
  <si>
    <t>C2087</t>
  </si>
  <si>
    <t>C2912</t>
  </si>
  <si>
    <t>C9106</t>
  </si>
  <si>
    <t>C3061</t>
  </si>
  <si>
    <t>C3872</t>
  </si>
  <si>
    <t>C8834</t>
  </si>
  <si>
    <t>C6950</t>
  </si>
  <si>
    <t>C1422</t>
  </si>
  <si>
    <t>C5158</t>
  </si>
  <si>
    <t>C9266</t>
  </si>
  <si>
    <t>C5561</t>
  </si>
  <si>
    <t>C9058</t>
  </si>
  <si>
    <t>C8476</t>
  </si>
  <si>
    <t>C6738</t>
  </si>
  <si>
    <t>C7470</t>
  </si>
  <si>
    <t>C1499</t>
  </si>
  <si>
    <t>C7358</t>
  </si>
  <si>
    <t>C3782</t>
  </si>
  <si>
    <t>C6208</t>
  </si>
  <si>
    <t>C8278</t>
  </si>
  <si>
    <t>C4335</t>
  </si>
  <si>
    <t>C2928</t>
  </si>
  <si>
    <t>C4307</t>
  </si>
  <si>
    <t>C4925</t>
  </si>
  <si>
    <t>C1939</t>
  </si>
  <si>
    <t>C6709</t>
  </si>
  <si>
    <t>C4298</t>
  </si>
  <si>
    <t>C2971</t>
  </si>
  <si>
    <t>C2700</t>
  </si>
  <si>
    <t>C8654</t>
  </si>
  <si>
    <t>C8711</t>
  </si>
  <si>
    <t>C4949</t>
  </si>
  <si>
    <t>C9149</t>
  </si>
  <si>
    <t>C2297</t>
  </si>
  <si>
    <t>C2079</t>
  </si>
  <si>
    <t>C4389</t>
  </si>
  <si>
    <t>C5819</t>
  </si>
  <si>
    <t>C8167</t>
  </si>
  <si>
    <t>C4933</t>
  </si>
  <si>
    <t>C3822</t>
  </si>
  <si>
    <t>C4239</t>
  </si>
  <si>
    <t>C1796</t>
  </si>
  <si>
    <t>C1804</t>
  </si>
  <si>
    <t>C5780</t>
  </si>
  <si>
    <t>C6943</t>
  </si>
  <si>
    <t>C3715</t>
  </si>
  <si>
    <t>C4222</t>
  </si>
  <si>
    <t>C3793</t>
  </si>
  <si>
    <t>C7459</t>
  </si>
  <si>
    <t>C7456</t>
  </si>
  <si>
    <t>C5720</t>
  </si>
  <si>
    <t>C9394</t>
  </si>
  <si>
    <t>C8321</t>
  </si>
  <si>
    <t>C6549</t>
  </si>
  <si>
    <t>C8829</t>
  </si>
  <si>
    <t>C7113</t>
  </si>
  <si>
    <t>C3059</t>
  </si>
  <si>
    <t>C3527</t>
  </si>
  <si>
    <t>C7079</t>
  </si>
  <si>
    <t>C8482</t>
  </si>
  <si>
    <t>C3205</t>
  </si>
  <si>
    <t>C9920</t>
  </si>
  <si>
    <t>C3003</t>
  </si>
  <si>
    <t>C7032</t>
  </si>
  <si>
    <t>C2289</t>
  </si>
  <si>
    <t>C1260</t>
  </si>
  <si>
    <t>C8131</t>
  </si>
  <si>
    <t>C5294</t>
  </si>
  <si>
    <t>C2844</t>
  </si>
  <si>
    <t>C7077</t>
  </si>
  <si>
    <t>C6994</t>
  </si>
  <si>
    <t>C5799</t>
  </si>
  <si>
    <t>C7399</t>
  </si>
  <si>
    <t>C2903</t>
  </si>
  <si>
    <t>C2125</t>
  </si>
  <si>
    <t>C2080</t>
  </si>
  <si>
    <t>C9487</t>
  </si>
  <si>
    <t>C9270</t>
  </si>
  <si>
    <t>C5053</t>
  </si>
  <si>
    <t>C5665</t>
  </si>
  <si>
    <t>C2639</t>
  </si>
  <si>
    <t>C1708</t>
  </si>
  <si>
    <t>C9311</t>
  </si>
  <si>
    <t>C1089</t>
  </si>
  <si>
    <t>C7385</t>
  </si>
  <si>
    <t>C9749</t>
  </si>
  <si>
    <t>C8429</t>
  </si>
  <si>
    <t>C8880</t>
  </si>
  <si>
    <t>C8258</t>
  </si>
  <si>
    <t>C8924</t>
  </si>
  <si>
    <t>C4939</t>
  </si>
  <si>
    <t>C4571</t>
  </si>
  <si>
    <t>C7789</t>
  </si>
  <si>
    <t>C1764</t>
  </si>
  <si>
    <t>C1373</t>
  </si>
  <si>
    <t>C8693</t>
  </si>
  <si>
    <t>C8508</t>
  </si>
  <si>
    <t>C8801</t>
  </si>
  <si>
    <t>C9260</t>
  </si>
  <si>
    <t>C3947</t>
  </si>
  <si>
    <t>C5565</t>
  </si>
  <si>
    <t>C4134</t>
  </si>
  <si>
    <t>C7355</t>
  </si>
  <si>
    <t>C5637</t>
  </si>
  <si>
    <t>C3589</t>
  </si>
  <si>
    <t>C6524</t>
  </si>
  <si>
    <t>C6958</t>
  </si>
  <si>
    <t>C7110</t>
  </si>
  <si>
    <t>C5403</t>
  </si>
  <si>
    <t>C9962</t>
  </si>
  <si>
    <t>C7116</t>
  </si>
  <si>
    <t>C1896</t>
  </si>
  <si>
    <t>C4538</t>
  </si>
  <si>
    <t>C7979</t>
  </si>
  <si>
    <t>C1361</t>
  </si>
  <si>
    <t>C1528</t>
  </si>
  <si>
    <t>C3526</t>
  </si>
  <si>
    <t>C3108</t>
  </si>
  <si>
    <t>C1225</t>
  </si>
  <si>
    <t>C8535</t>
  </si>
  <si>
    <t>C4899</t>
  </si>
  <si>
    <t>C6878</t>
  </si>
  <si>
    <t>C9238</t>
  </si>
  <si>
    <t>C7450</t>
  </si>
  <si>
    <t>C2186</t>
  </si>
  <si>
    <t>C3821</t>
  </si>
  <si>
    <t>C9933</t>
  </si>
  <si>
    <t>C9804</t>
  </si>
  <si>
    <t>C6920</t>
  </si>
  <si>
    <t>C5468</t>
  </si>
  <si>
    <t>C5839</t>
  </si>
  <si>
    <t>C9128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</si>
  <si>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</si>
  <si>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</si>
  <si>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</si>
  <si>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</si>
  <si>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</si>
  <si>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</si>
  <si>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</si>
  <si>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</si>
  <si>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</si>
  <si>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C9949</t>
  </si>
  <si>
    <t>C8144</t>
  </si>
  <si>
    <t>C5232</t>
  </si>
  <si>
    <t>C6946</t>
  </si>
  <si>
    <t>C1726</t>
  </si>
  <si>
    <t>C1212</t>
  </si>
  <si>
    <t>C8748</t>
  </si>
  <si>
    <t>C5882</t>
  </si>
  <si>
    <t>C1864</t>
  </si>
  <si>
    <t>C2148</t>
  </si>
  <si>
    <t>C3890</t>
  </si>
  <si>
    <t>C9451</t>
  </si>
  <si>
    <t>C3894</t>
  </si>
  <si>
    <t>C4484</t>
  </si>
  <si>
    <t>C2190</t>
  </si>
  <si>
    <t>C1347</t>
  </si>
  <si>
    <t>C1750</t>
  </si>
  <si>
    <t>C6179</t>
  </si>
  <si>
    <t>C4617</t>
  </si>
  <si>
    <t>C5754</t>
  </si>
  <si>
    <t>C5479</t>
  </si>
  <si>
    <t>C9388</t>
  </si>
  <si>
    <t>C1277</t>
  </si>
  <si>
    <t>C1647</t>
  </si>
  <si>
    <t>C9201</t>
  </si>
  <si>
    <t>C5347</t>
  </si>
  <si>
    <t>C3695</t>
  </si>
  <si>
    <t>C9556</t>
  </si>
  <si>
    <t>C6448</t>
  </si>
  <si>
    <t>C5590</t>
  </si>
  <si>
    <t>C5014</t>
  </si>
  <si>
    <t>C8751</t>
  </si>
  <si>
    <t>C3646</t>
  </si>
  <si>
    <t>C8933</t>
  </si>
  <si>
    <t>C8551</t>
  </si>
  <si>
    <t>C9641</t>
  </si>
  <si>
    <t>C2047</t>
  </si>
  <si>
    <t>C7816</t>
  </si>
  <si>
    <t>C4699</t>
  </si>
  <si>
    <t>C2649</t>
  </si>
  <si>
    <t>C3324</t>
  </si>
  <si>
    <t>C4582</t>
  </si>
  <si>
    <t>C4988</t>
  </si>
  <si>
    <t>C8307</t>
  </si>
  <si>
    <t>C1008</t>
  </si>
  <si>
    <t>C2951</t>
  </si>
  <si>
    <t>C2146</t>
  </si>
  <si>
    <t>C6632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</si>
  <si>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</si>
  <si>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</si>
  <si>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</si>
  <si>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</si>
  <si>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</si>
  <si>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</si>
  <si>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</si>
  <si>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</si>
  <si>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</si>
  <si>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</si>
  <si>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</si>
  <si>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C6447</t>
  </si>
  <si>
    <t>C4157</t>
  </si>
  <si>
    <t>C8936</t>
  </si>
  <si>
    <t>C6137</t>
  </si>
  <si>
    <t>C1498</t>
  </si>
  <si>
    <t>C1454</t>
  </si>
  <si>
    <t>C8648</t>
  </si>
  <si>
    <t>C8423</t>
  </si>
  <si>
    <t>C9328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</si>
  <si>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</si>
  <si>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</si>
  <si>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</si>
  <si>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</si>
  <si>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</si>
  <si>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</si>
  <si>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</si>
  <si>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</si>
  <si>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</si>
  <si>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C2120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</si>
  <si>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</si>
  <si>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</si>
  <si>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</si>
  <si>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</si>
  <si>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</si>
  <si>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</si>
  <si>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</si>
  <si>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</si>
  <si>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</si>
  <si>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</si>
  <si>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</si>
  <si>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</si>
  <si>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</si>
  <si>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</si>
  <si>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</si>
  <si>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</si>
  <si>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</si>
  <si>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</si>
  <si>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</si>
  <si>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</si>
  <si>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</si>
  <si>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</si>
  <si>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</si>
  <si>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</si>
  <si>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</si>
  <si>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</si>
  <si>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C1411</t>
  </si>
  <si>
    <t>C5688</t>
  </si>
  <si>
    <t>C1879</t>
  </si>
  <si>
    <t>C8655</t>
  </si>
  <si>
    <t>C9393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</si>
  <si>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</si>
  <si>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</si>
  <si>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</si>
  <si>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</si>
  <si>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</si>
  <si>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</si>
  <si>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</si>
  <si>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</si>
  <si>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</si>
  <si>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</si>
  <si>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</si>
  <si>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</si>
  <si>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</si>
  <si>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</si>
  <si>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</si>
  <si>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</si>
  <si>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</si>
  <si>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</si>
  <si>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</si>
  <si>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</si>
  <si>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</si>
  <si>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</si>
  <si>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</si>
  <si>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</si>
  <si>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</si>
  <si>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</si>
  <si>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</si>
  <si>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</si>
  <si>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</si>
  <si>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</si>
  <si>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</si>
  <si>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</si>
  <si>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</si>
  <si>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</si>
  <si>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</si>
  <si>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</si>
  <si>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</si>
  <si>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</si>
  <si>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</si>
  <si>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</si>
  <si>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</si>
  <si>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</si>
  <si>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</si>
  <si>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</si>
  <si>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</si>
  <si>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</si>
  <si>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</si>
  <si>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</si>
  <si>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</si>
  <si>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</si>
  <si>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</si>
  <si>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</si>
  <si>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</si>
  <si>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</si>
  <si>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</si>
  <si>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</si>
  <si>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</si>
  <si>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</si>
  <si>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</si>
  <si>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</si>
  <si>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</si>
  <si>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</si>
  <si>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</si>
  <si>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</si>
  <si>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</si>
  <si>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</si>
  <si>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</si>
  <si>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</si>
  <si>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</si>
  <si>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</si>
  <si>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</si>
  <si>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</si>
  <si>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</si>
  <si>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</si>
  <si>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</si>
  <si>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</si>
  <si>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</si>
  <si>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</si>
  <si>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</si>
  <si>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</si>
  <si>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</si>
  <si>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</si>
  <si>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</si>
  <si>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</si>
  <si>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</si>
  <si>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</si>
  <si>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</si>
  <si>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</si>
  <si>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</si>
  <si>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</si>
  <si>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</si>
  <si>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C2328</t>
  </si>
  <si>
    <t>C9143</t>
  </si>
  <si>
    <t>C6796</t>
  </si>
  <si>
    <t>C7067</t>
  </si>
  <si>
    <t>C8942</t>
  </si>
  <si>
    <t>C3109</t>
  </si>
  <si>
    <t>C3458</t>
  </si>
  <si>
    <t>C6585</t>
  </si>
  <si>
    <t>C5285</t>
  </si>
  <si>
    <t>C2060</t>
  </si>
  <si>
    <t>C4614</t>
  </si>
  <si>
    <t>C3353</t>
  </si>
  <si>
    <t>C2887</t>
  </si>
  <si>
    <t>C8529</t>
  </si>
  <si>
    <t>C3795</t>
  </si>
  <si>
    <t>C4279</t>
  </si>
  <si>
    <t>C7045</t>
  </si>
  <si>
    <t>C3531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</si>
  <si>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</si>
  <si>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</si>
  <si>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</si>
  <si>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</si>
  <si>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</si>
  <si>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</si>
  <si>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</si>
  <si>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</si>
  <si>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</si>
  <si>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</si>
  <si>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</si>
  <si>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</si>
  <si>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</si>
  <si>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</si>
  <si>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</si>
  <si>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</si>
  <si>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</si>
  <si>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</si>
  <si>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</si>
  <si>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</si>
  <si>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</si>
  <si>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</si>
  <si>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</si>
  <si>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C8776</t>
  </si>
  <si>
    <t>C4631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</si>
  <si>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</si>
  <si>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</si>
  <si>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</si>
  <si>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</si>
  <si>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</si>
  <si>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</si>
  <si>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</si>
  <si>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</si>
  <si>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C2830</t>
  </si>
  <si>
    <t>C6323</t>
  </si>
  <si>
    <t>C9539</t>
  </si>
  <si>
    <t>C3728</t>
  </si>
  <si>
    <t>C3344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</si>
  <si>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</si>
  <si>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</si>
  <si>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</si>
  <si>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</si>
  <si>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</si>
  <si>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</si>
  <si>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</si>
  <si>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</si>
  <si>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</si>
  <si>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</si>
  <si>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</si>
  <si>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</si>
  <si>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</si>
  <si>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</si>
  <si>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</si>
  <si>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</si>
  <si>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</si>
  <si>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</si>
  <si>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</si>
  <si>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</si>
  <si>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</si>
  <si>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</si>
  <si>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</si>
  <si>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</si>
  <si>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</si>
  <si>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</si>
  <si>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</si>
  <si>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</si>
  <si>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</si>
  <si>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</si>
  <si>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</si>
  <si>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</si>
  <si>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</si>
  <si>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</si>
  <si>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</si>
  <si>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</si>
  <si>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C1203</t>
  </si>
  <si>
    <t>C9596</t>
  </si>
  <si>
    <t>C8124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</si>
  <si>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</si>
  <si>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</si>
  <si>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</si>
  <si>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</si>
  <si>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</si>
  <si>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</si>
  <si>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</si>
  <si>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</si>
  <si>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</si>
  <si>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</si>
  <si>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</si>
  <si>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</si>
  <si>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C7021</t>
  </si>
  <si>
    <t>C9115</t>
  </si>
  <si>
    <t>C4226</t>
  </si>
  <si>
    <t>C1885</t>
  </si>
  <si>
    <t>C1490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</si>
  <si>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</si>
  <si>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</si>
  <si>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</si>
  <si>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</si>
  <si>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</si>
  <si>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</si>
  <si>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</si>
  <si>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</si>
  <si>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</si>
  <si>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</si>
  <si>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</si>
  <si>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</si>
  <si>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</si>
  <si>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</si>
  <si>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</si>
  <si>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</si>
  <si>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</si>
  <si>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</si>
  <si>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</si>
  <si>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</si>
  <si>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</si>
  <si>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</si>
  <si>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</si>
  <si>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</si>
  <si>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</si>
  <si>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</si>
  <si>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</si>
  <si>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</si>
  <si>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</si>
  <si>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</si>
  <si>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</si>
  <si>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</si>
  <si>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</si>
  <si>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</si>
  <si>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</si>
  <si>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</si>
  <si>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</si>
  <si>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</si>
  <si>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</si>
  <si>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</si>
  <si>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</si>
  <si>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</si>
  <si>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</si>
  <si>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</si>
  <si>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</si>
  <si>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</si>
  <si>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</si>
  <si>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</si>
  <si>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</si>
  <si>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</si>
  <si>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</si>
  <si>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</si>
  <si>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</si>
  <si>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</si>
  <si>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</si>
  <si>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</si>
  <si>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</si>
  <si>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</si>
  <si>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</si>
  <si>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</si>
  <si>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</si>
  <si>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</si>
  <si>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</si>
  <si>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</si>
  <si>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</si>
  <si>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</si>
  <si>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</si>
  <si>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</si>
  <si>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</si>
  <si>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</si>
  <si>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</si>
  <si>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</si>
  <si>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</si>
  <si>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</si>
  <si>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C7080</t>
  </si>
  <si>
    <t>C3277</t>
  </si>
  <si>
    <t>C4250</t>
  </si>
  <si>
    <t>C6594</t>
  </si>
  <si>
    <t>C3106</t>
  </si>
  <si>
    <t>C5287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</si>
  <si>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</si>
  <si>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</si>
  <si>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</si>
  <si>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</si>
  <si>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</si>
  <si>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</si>
  <si>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</si>
  <si>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</si>
  <si>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</si>
  <si>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</si>
  <si>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</si>
  <si>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</si>
  <si>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</si>
  <si>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</si>
  <si>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</si>
  <si>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</si>
  <si>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</si>
  <si>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</si>
  <si>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</si>
  <si>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</si>
  <si>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</si>
  <si>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</si>
  <si>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</si>
  <si>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</si>
  <si>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</si>
  <si>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</si>
  <si>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</si>
  <si>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</si>
  <si>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</si>
  <si>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</si>
  <si>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</si>
  <si>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</si>
  <si>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</si>
  <si>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</si>
  <si>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</si>
  <si>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</si>
  <si>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</si>
  <si>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</si>
  <si>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</si>
  <si>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</si>
  <si>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</si>
  <si>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</si>
  <si>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</si>
  <si>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</si>
  <si>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</si>
  <si>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</si>
  <si>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</si>
  <si>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</si>
  <si>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</si>
  <si>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</si>
  <si>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</si>
  <si>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</si>
  <si>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</si>
  <si>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</si>
  <si>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</si>
  <si>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</si>
  <si>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</si>
  <si>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</si>
  <si>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</si>
  <si>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</si>
  <si>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</si>
  <si>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</si>
  <si>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</si>
  <si>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</si>
  <si>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</si>
  <si>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</si>
  <si>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</si>
  <si>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</si>
  <si>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</si>
  <si>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</si>
  <si>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</si>
  <si>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</si>
  <si>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</si>
  <si>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</si>
  <si>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</si>
  <si>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</si>
  <si>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</si>
  <si>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</si>
  <si>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</si>
  <si>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</si>
  <si>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</si>
  <si>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</si>
  <si>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</si>
  <si>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</si>
  <si>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</si>
  <si>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</si>
  <si>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</si>
  <si>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</si>
  <si>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</si>
  <si>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</si>
  <si>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</si>
  <si>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</si>
  <si>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</si>
  <si>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</si>
  <si>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</si>
  <si>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</si>
  <si>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</si>
  <si>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</si>
  <si>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</si>
  <si>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</si>
  <si>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</si>
  <si>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</si>
  <si>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</si>
  <si>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</si>
  <si>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</si>
  <si>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</si>
  <si>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</si>
  <si>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</si>
  <si>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</si>
  <si>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</si>
  <si>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</si>
  <si>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</si>
  <si>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</si>
  <si>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</si>
  <si>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</si>
  <si>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</si>
  <si>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</si>
  <si>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</si>
  <si>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</si>
  <si>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</si>
  <si>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</si>
  <si>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</si>
  <si>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</si>
  <si>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</si>
  <si>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</si>
  <si>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</si>
  <si>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</si>
  <si>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</si>
  <si>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</si>
  <si>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</si>
  <si>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</si>
  <si>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</si>
  <si>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</si>
  <si>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</si>
  <si>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</si>
  <si>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</si>
  <si>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</si>
  <si>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</si>
  <si>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</si>
  <si>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</si>
  <si>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</si>
  <si>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</si>
  <si>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</si>
  <si>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</si>
  <si>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</si>
  <si>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</si>
  <si>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</si>
  <si>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</si>
  <si>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</si>
  <si>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</si>
  <si>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</si>
  <si>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</si>
  <si>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</si>
  <si>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</si>
  <si>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</si>
  <si>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</si>
  <si>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</si>
  <si>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</si>
  <si>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</si>
  <si>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</si>
  <si>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</si>
  <si>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</si>
  <si>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</si>
  <si>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</si>
  <si>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</si>
  <si>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</si>
  <si>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</si>
  <si>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</si>
  <si>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</si>
  <si>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</si>
  <si>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</si>
  <si>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</si>
  <si>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</si>
  <si>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</si>
  <si>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</si>
  <si>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</si>
  <si>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</si>
  <si>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</si>
  <si>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</si>
  <si>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</si>
  <si>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</si>
  <si>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</si>
  <si>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</si>
  <si>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</si>
  <si>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</si>
  <si>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</si>
  <si>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</si>
  <si>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</si>
  <si>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</si>
  <si>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</si>
  <si>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</si>
  <si>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</si>
  <si>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</si>
  <si>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</si>
  <si>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</si>
  <si>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</si>
  <si>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</si>
  <si>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</si>
  <si>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</si>
  <si>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</si>
  <si>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</si>
  <si>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</si>
  <si>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</si>
  <si>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</si>
  <si>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</si>
  <si>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</si>
  <si>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</si>
  <si>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</si>
  <si>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</si>
  <si>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</si>
  <si>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</si>
  <si>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</si>
  <si>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</si>
  <si>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</si>
  <si>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</si>
  <si>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</si>
  <si>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</si>
  <si>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</si>
  <si>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</si>
  <si>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</si>
  <si>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</si>
  <si>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</si>
  <si>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</si>
  <si>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</si>
  <si>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</si>
  <si>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</si>
  <si>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</si>
  <si>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</si>
  <si>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</si>
  <si>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</si>
  <si>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</si>
  <si>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</si>
  <si>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</si>
  <si>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</si>
  <si>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</si>
  <si>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</si>
  <si>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</si>
  <si>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</si>
  <si>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</si>
  <si>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</si>
  <si>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</si>
  <si>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</si>
  <si>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</si>
  <si>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</si>
  <si>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</si>
  <si>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</si>
  <si>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</si>
  <si>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</si>
  <si>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</si>
  <si>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</si>
  <si>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</si>
  <si>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</si>
  <si>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</si>
  <si>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</si>
  <si>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</si>
  <si>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</si>
  <si>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</si>
  <si>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</si>
  <si>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</si>
  <si>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</si>
  <si>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</si>
  <si>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</si>
  <si>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</si>
  <si>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</si>
  <si>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</si>
  <si>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</si>
  <si>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</si>
  <si>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</si>
  <si>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</si>
  <si>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</si>
  <si>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</si>
  <si>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</si>
  <si>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</si>
  <si>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</si>
  <si>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</si>
  <si>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</si>
  <si>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</si>
  <si>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</si>
  <si>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</si>
  <si>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</si>
  <si>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</si>
  <si>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</si>
  <si>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</si>
  <si>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</si>
  <si>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</si>
  <si>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</si>
  <si>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</si>
  <si>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</si>
  <si>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</si>
  <si>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</si>
  <si>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</si>
  <si>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</si>
  <si>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</si>
  <si>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</si>
  <si>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</si>
  <si>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</si>
  <si>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</si>
  <si>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</si>
  <si>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</si>
  <si>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</si>
  <si>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</si>
  <si>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</si>
  <si>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</si>
  <si>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</si>
  <si>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</si>
  <si>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</si>
  <si>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</si>
  <si>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</si>
  <si>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</si>
  <si>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</si>
  <si>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</si>
  <si>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</si>
  <si>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</si>
  <si>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</si>
  <si>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</si>
  <si>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</si>
  <si>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</si>
  <si>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</si>
  <si>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</si>
  <si>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</si>
  <si>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</si>
  <si>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</si>
  <si>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</si>
  <si>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</si>
  <si>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</si>
  <si>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</si>
  <si>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</si>
  <si>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</si>
  <si>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</si>
  <si>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</si>
  <si>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</si>
  <si>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</si>
  <si>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</si>
  <si>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</si>
  <si>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</si>
  <si>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</si>
  <si>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</si>
  <si>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</si>
  <si>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</si>
  <si>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</si>
  <si>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</si>
  <si>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</si>
  <si>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</si>
  <si>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</si>
  <si>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</si>
  <si>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</si>
  <si>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</si>
  <si>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</si>
  <si>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Zona</t>
  </si>
  <si>
    <t>País</t>
  </si>
  <si>
    <t>Europa</t>
  </si>
  <si>
    <t>United Kingdom</t>
  </si>
  <si>
    <t>Malta</t>
  </si>
  <si>
    <t>Australia y Oceanía</t>
  </si>
  <si>
    <t>Marshall Islands</t>
  </si>
  <si>
    <t>África</t>
  </si>
  <si>
    <t>Iran</t>
  </si>
  <si>
    <t>Centroamérica y Caribe</t>
  </si>
  <si>
    <t>Guatemala</t>
  </si>
  <si>
    <t>Grenada</t>
  </si>
  <si>
    <t>Fiji</t>
  </si>
  <si>
    <t xml:space="preserve">Tunisia </t>
  </si>
  <si>
    <t>Australia</t>
  </si>
  <si>
    <t>Norteamérica</t>
  </si>
  <si>
    <t>Greenland</t>
  </si>
  <si>
    <t>Angola</t>
  </si>
  <si>
    <t>Zambia</t>
  </si>
  <si>
    <t>Kenya</t>
  </si>
  <si>
    <t>Azerbaijan</t>
  </si>
  <si>
    <t>Mozambique</t>
  </si>
  <si>
    <t>Federated States of Micronesia</t>
  </si>
  <si>
    <t>Dominican Republic</t>
  </si>
  <si>
    <t>Libya</t>
  </si>
  <si>
    <t>Asia</t>
  </si>
  <si>
    <t>Uzbekistan</t>
  </si>
  <si>
    <t>Sri Lanka</t>
  </si>
  <si>
    <t>The Gambia</t>
  </si>
  <si>
    <t>Myanmar</t>
  </si>
  <si>
    <t>Bhutan</t>
  </si>
  <si>
    <t>Mali</t>
  </si>
  <si>
    <t>Burundi</t>
  </si>
  <si>
    <t>Nigeria</t>
  </si>
  <si>
    <t>Norway</t>
  </si>
  <si>
    <t>Papua New Guinea</t>
  </si>
  <si>
    <t>North Korea</t>
  </si>
  <si>
    <t>Montenegro</t>
  </si>
  <si>
    <t>Lesotho</t>
  </si>
  <si>
    <t>Indonesia</t>
  </si>
  <si>
    <t>Iraq</t>
  </si>
  <si>
    <t>Singapore</t>
  </si>
  <si>
    <t>South Korea</t>
  </si>
  <si>
    <t>Lebanon</t>
  </si>
  <si>
    <t>Vietnam</t>
  </si>
  <si>
    <t>Jordan</t>
  </si>
  <si>
    <t>Palau</t>
  </si>
  <si>
    <t xml:space="preserve">Antigua and Barbuda </t>
  </si>
  <si>
    <t>El Salvador</t>
  </si>
  <si>
    <t>Republic of the Congo</t>
  </si>
  <si>
    <t>Vanuatu</t>
  </si>
  <si>
    <t>Bangladesh</t>
  </si>
  <si>
    <t>South Sudan</t>
  </si>
  <si>
    <t xml:space="preserve">Saint Kitts and Nevis </t>
  </si>
  <si>
    <t>Rwanda</t>
  </si>
  <si>
    <t xml:space="preserve">Moldova </t>
  </si>
  <si>
    <t>Austria</t>
  </si>
  <si>
    <t>Spain</t>
  </si>
  <si>
    <t>China</t>
  </si>
  <si>
    <t>Qatar</t>
  </si>
  <si>
    <t>Georgia</t>
  </si>
  <si>
    <t>Kazakhstan</t>
  </si>
  <si>
    <t>Namibia</t>
  </si>
  <si>
    <t>Jamaica</t>
  </si>
  <si>
    <t>Syria</t>
  </si>
  <si>
    <t>Tanzania</t>
  </si>
  <si>
    <t>Hungary</t>
  </si>
  <si>
    <t>Thailand</t>
  </si>
  <si>
    <t>Taiwan</t>
  </si>
  <si>
    <t>India</t>
  </si>
  <si>
    <t>Romania</t>
  </si>
  <si>
    <t>East Timor</t>
  </si>
  <si>
    <t>Bosnia and Herzegovina</t>
  </si>
  <si>
    <t>Ireland</t>
  </si>
  <si>
    <t>Croatia</t>
  </si>
  <si>
    <t>Madagascar</t>
  </si>
  <si>
    <t>Sierra Leone</t>
  </si>
  <si>
    <t>Netherlands</t>
  </si>
  <si>
    <t>Trinidad and Tobago</t>
  </si>
  <si>
    <t xml:space="preserve">Samoa </t>
  </si>
  <si>
    <t>Albania</t>
  </si>
  <si>
    <t>Cape Verde</t>
  </si>
  <si>
    <t>Italy</t>
  </si>
  <si>
    <t>Maldives</t>
  </si>
  <si>
    <t>Yemen</t>
  </si>
  <si>
    <t>Latvia</t>
  </si>
  <si>
    <t>Lithuania</t>
  </si>
  <si>
    <t>Senegal</t>
  </si>
  <si>
    <t>Bulgaria</t>
  </si>
  <si>
    <t xml:space="preserve">Seychelles </t>
  </si>
  <si>
    <t>Saint Vincent and the Grenadines</t>
  </si>
  <si>
    <t>Andorra</t>
  </si>
  <si>
    <t>Togo</t>
  </si>
  <si>
    <t>Japan</t>
  </si>
  <si>
    <t>Central African Republic</t>
  </si>
  <si>
    <t>Mauritania</t>
  </si>
  <si>
    <t>Portugal</t>
  </si>
  <si>
    <t>Liberia</t>
  </si>
  <si>
    <t>Cameroon</t>
  </si>
  <si>
    <t>Cuba</t>
  </si>
  <si>
    <t>Malawi</t>
  </si>
  <si>
    <t>Tuvalu</t>
  </si>
  <si>
    <t>Turkmenistan</t>
  </si>
  <si>
    <t>Uganda</t>
  </si>
  <si>
    <t>Switzerland</t>
  </si>
  <si>
    <t>Kuwait</t>
  </si>
  <si>
    <t>Ghana</t>
  </si>
  <si>
    <t>Poland</t>
  </si>
  <si>
    <t>Mongolia</t>
  </si>
  <si>
    <t>Ethiopia</t>
  </si>
  <si>
    <t>Niger</t>
  </si>
  <si>
    <t>United States of America</t>
  </si>
  <si>
    <t>Sudan</t>
  </si>
  <si>
    <t>Bahrain</t>
  </si>
  <si>
    <t>Algeria</t>
  </si>
  <si>
    <t>Botswana</t>
  </si>
  <si>
    <t>Guinea-Bissau</t>
  </si>
  <si>
    <t>Pakistan</t>
  </si>
  <si>
    <t>Afghanistan</t>
  </si>
  <si>
    <t>Oman</t>
  </si>
  <si>
    <t>Burkina Faso</t>
  </si>
  <si>
    <t>Serbia</t>
  </si>
  <si>
    <t xml:space="preserve">Mauritius </t>
  </si>
  <si>
    <t>New Zealand</t>
  </si>
  <si>
    <t>Somalia</t>
  </si>
  <si>
    <t>Cyprus</t>
  </si>
  <si>
    <t>The Bahamas</t>
  </si>
  <si>
    <t>Germany</t>
  </si>
  <si>
    <t>Luxembourg</t>
  </si>
  <si>
    <t>Solomon Islands</t>
  </si>
  <si>
    <t>Cote d'Ivoire</t>
  </si>
  <si>
    <t>Russia</t>
  </si>
  <si>
    <t>Laos</t>
  </si>
  <si>
    <t>Sweden</t>
  </si>
  <si>
    <t>Kiribati</t>
  </si>
  <si>
    <t>Philippines</t>
  </si>
  <si>
    <t>Comoros</t>
  </si>
  <si>
    <t>Liechtenstein</t>
  </si>
  <si>
    <t>Chad</t>
  </si>
  <si>
    <t>Macedonia</t>
  </si>
  <si>
    <t>United Arab Emirates</t>
  </si>
  <si>
    <t>Kosovo</t>
  </si>
  <si>
    <t>Mexico</t>
  </si>
  <si>
    <t>Egypt</t>
  </si>
  <si>
    <t>Swaziland</t>
  </si>
  <si>
    <t>Brunei</t>
  </si>
  <si>
    <t>Democratic Republic of the Congo</t>
  </si>
  <si>
    <t>Tonga</t>
  </si>
  <si>
    <t>Malaysia</t>
  </si>
  <si>
    <t>Costa Rica</t>
  </si>
  <si>
    <t>Nepal</t>
  </si>
  <si>
    <t>Tajikistan</t>
  </si>
  <si>
    <t>Iceland</t>
  </si>
  <si>
    <t>Czech Republic</t>
  </si>
  <si>
    <t>Saudi Arabia</t>
  </si>
  <si>
    <t>Turkey</t>
  </si>
  <si>
    <t>Eritrea</t>
  </si>
  <si>
    <t>Greece</t>
  </si>
  <si>
    <t>Benin</t>
  </si>
  <si>
    <t>Honduras</t>
  </si>
  <si>
    <t>Morocco</t>
  </si>
  <si>
    <t>Estonia</t>
  </si>
  <si>
    <t>Canada</t>
  </si>
  <si>
    <t>Belize</t>
  </si>
  <si>
    <t>Nicaragua</t>
  </si>
  <si>
    <t>Monaco</t>
  </si>
  <si>
    <t>Barbados</t>
  </si>
  <si>
    <t>Haiti</t>
  </si>
  <si>
    <t>Armenia</t>
  </si>
  <si>
    <t>Panama</t>
  </si>
  <si>
    <t>Israel</t>
  </si>
  <si>
    <t>France</t>
  </si>
  <si>
    <t>Slovakia</t>
  </si>
  <si>
    <t>Nauru</t>
  </si>
  <si>
    <t>Ukraine</t>
  </si>
  <si>
    <t>Sao Tome and Principe</t>
  </si>
  <si>
    <t>Saint Lucia</t>
  </si>
  <si>
    <t>Slovenia</t>
  </si>
  <si>
    <t>Belarus</t>
  </si>
  <si>
    <t>San Marino</t>
  </si>
  <si>
    <t>Kyrgyzstan</t>
  </si>
  <si>
    <t>South Africa</t>
  </si>
  <si>
    <t>Dominica</t>
  </si>
  <si>
    <t>Guinea</t>
  </si>
  <si>
    <t>Gabon</t>
  </si>
  <si>
    <t>Equatorial Guinea</t>
  </si>
  <si>
    <t>Belgium</t>
  </si>
  <si>
    <t>Finland</t>
  </si>
  <si>
    <t>Zimbabwe</t>
  </si>
  <si>
    <t>Cambodia</t>
  </si>
  <si>
    <t>Vatican City</t>
  </si>
  <si>
    <t>Djibouti</t>
  </si>
  <si>
    <t>ID</t>
  </si>
  <si>
    <t>Tipo de producto</t>
  </si>
  <si>
    <t>PRO 1</t>
  </si>
  <si>
    <t>Snacks</t>
  </si>
  <si>
    <t>PRO 2</t>
  </si>
  <si>
    <t>Cárnicos</t>
  </si>
  <si>
    <t>PRO 3</t>
  </si>
  <si>
    <t>Cereales</t>
  </si>
  <si>
    <t>PRO 4</t>
  </si>
  <si>
    <t>Frutas</t>
  </si>
  <si>
    <t>PRO 5</t>
  </si>
  <si>
    <t>Alimento infantil</t>
  </si>
  <si>
    <t>PRO 6</t>
  </si>
  <si>
    <t>Bebida</t>
  </si>
  <si>
    <t>PRO 7</t>
  </si>
  <si>
    <t>Cosméticos</t>
  </si>
  <si>
    <t>PRO 8</t>
  </si>
  <si>
    <t>Cuidado personal</t>
  </si>
  <si>
    <t>PRO 9</t>
  </si>
  <si>
    <t>Material de oficina</t>
  </si>
  <si>
    <t>PRO 10</t>
  </si>
  <si>
    <t>Verduras</t>
  </si>
  <si>
    <t>PRO 11</t>
  </si>
  <si>
    <t>Ropa</t>
  </si>
  <si>
    <t>PRO 12</t>
  </si>
  <si>
    <t>Doméstico</t>
  </si>
  <si>
    <t>Total general</t>
  </si>
  <si>
    <t>Total Venta</t>
  </si>
  <si>
    <t>Margen de Ventas</t>
  </si>
  <si>
    <t>Año</t>
  </si>
  <si>
    <t>VENTAS ANUALES</t>
  </si>
  <si>
    <t>Producto</t>
  </si>
  <si>
    <t>VENTAS POR ZONA</t>
  </si>
  <si>
    <t>Región</t>
  </si>
  <si>
    <t>LA AMALFITANA S.A.</t>
  </si>
  <si>
    <t>MARGEN POR PRODUCTO</t>
  </si>
  <si>
    <t>Importe</t>
  </si>
  <si>
    <t>Total Ventas</t>
  </si>
  <si>
    <t>Coste Total</t>
  </si>
  <si>
    <t>RESUMEN GENERAL</t>
  </si>
  <si>
    <t>Ventas</t>
  </si>
  <si>
    <t>Costos</t>
  </si>
  <si>
    <t>Ganancia</t>
  </si>
  <si>
    <t>TEXTO TARJETAS KPI</t>
  </si>
  <si>
    <t>KPI</t>
  </si>
  <si>
    <t>Texto</t>
  </si>
  <si>
    <t>Venta total</t>
  </si>
  <si>
    <t>Coste total</t>
  </si>
  <si>
    <t>Margen de ventas</t>
  </si>
  <si>
    <t>VENTA TOTAL</t>
  </si>
  <si>
    <t>COSTE TOTAL</t>
  </si>
  <si>
    <t>MARGEN DE VENTAS</t>
  </si>
  <si>
    <t>Meta</t>
  </si>
  <si>
    <t>¿Cumple?</t>
  </si>
  <si>
    <t>Indicador</t>
  </si>
  <si>
    <t>CONCLUSIONES (datos sin filtros, 2020–2022)</t>
  </si>
  <si>
    <t>1. Las ventas crecieron 10,5% en 2021 ($437 M → $483 M) y cayeron 23,7% en 2022 ($369 M). Ojo: los datos de 2022 llegan solo hasta el 7/11/2022, así que parte de la caída puede deberse a que el año está incompleto.</t>
  </si>
  <si>
    <t>2. Las ventas están muy concentradas: África ($506 M, 39%) y Europa ($286 M, 22%) suman el 61% del total, mientras que Norteamérica aporta apenas el 2% ($28 M). Hay dependencia de dos regiones y una oportunidad de crecimiento en las más chicas.</t>
  </si>
  <si>
    <t>3. El margen total (29,6%) no llega a la meta del 35%. La rentabilidad varía mucho por producto: Ropa deja 67% de margen, mientras que Cárnicos (13,6%) y Material de oficina (19,4%) son los que más bajan el promedio. Mejorar precios o costos en esos productos ayudaría a acercarse a la meta.</t>
  </si>
  <si>
    <t>ANÁLISIS DE APOYO – Revisión crítica (IA)</t>
  </si>
  <si>
    <t>1. Ventas en períodos equivalentes (del 1/1 a la fecha del último pedido de cada año)</t>
  </si>
  <si>
    <t>Último pedido registrado</t>
  </si>
  <si>
    <t>Desde</t>
  </si>
  <si>
    <t>Hasta</t>
  </si>
  <si>
    <t>Ventas mismo período ($)</t>
  </si>
  <si>
    <t>Var. % vs año anterior</t>
  </si>
  <si>
    <t>Ventas año completo ($)</t>
  </si>
  <si>
    <t>Var. % año completo</t>
  </si>
  <si>
    <t>-</t>
  </si>
  <si>
    <t>Total</t>
  </si>
  <si>
    <t>Control: total año completo = suma de la hoja Hechos</t>
  </si>
  <si>
    <t>2. Venta, ganancia y margen por producto (total 2020–2022, sin filtros)</t>
  </si>
  <si>
    <t>Ventas ($)</t>
  </si>
  <si>
    <t>Coste ($)</t>
  </si>
  <si>
    <t>Ganancia ($)</t>
  </si>
  <si>
    <t>Margen %</t>
  </si>
  <si>
    <t>% de la ganancia total</t>
  </si>
  <si>
    <t>Base del gráfico (ordenada por ganancia)</t>
  </si>
  <si>
    <t>REVISIÓN CRÍTICA (abogado del diablo con IA) – qué cambia en las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</si>
</sst>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.00"/>
    <numFmt numFmtId="165" formatCode="\$\ #,##0.00;\-\$\ #,##0.00;\$\ #,##0.00"/>
    <numFmt numFmtId="166" formatCode="0.00\ %;\-0.00\ %;0.00\ %"/>
    <numFmt numFmtId="167" formatCode="&quot;$&quot;\ #,##0,,\ &quot;M&quot;;\-&quot;$&quot;\ #,##0,,\ &quot;M&quot;"/>
    <numFmt numFmtId="168" formatCode="&quot;$&quot;\ #,##0,,\ &quot;M&quot;"/>
    <numFmt numFmtId="169" formatCode="0.0%"/>
    <numFmt numFmtId="170" formatCode="dd/mm/yyyy"/>
    <numFmt numFmtId="171" formatCode="0.0%;\(0.0%\);\-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38803A"/>
      <name val="Aptos Narrow"/>
      <scheme val="minor"/>
    </font>
    <font>
      <b/>
      <sz val="22"/>
      <color rgb="FFFFFFFF"/>
      <name val="Aptos Narrow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FFFF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1E3D1E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1E3D1E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F6EF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DB9A"/>
        <bgColor indexed="64"/>
      </patternFill>
    </fill>
    <fill>
      <patternFill patternType="solid">
        <fgColor rgb="FF1E3D1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4EA72E"/>
      </bottom>
      <diagonal/>
    </border>
    <border>
      <left/>
      <right/>
      <top style="thin">
        <color rgb="FF4EA72E"/>
      </top>
      <bottom style="thin">
        <color rgb="FF4EA72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AEDB9A"/>
      </top>
      <bottom style="thin">
        <color rgb="FFAEDB9A"/>
      </bottom>
      <diagonal/>
    </border>
    <border>
      <left style="thin">
        <color rgb="FFAEDB9A"/>
      </left>
      <right/>
      <top style="thin">
        <color rgb="FFAEDB9A"/>
      </top>
      <bottom style="thin">
        <color rgb="FFAEDB9A"/>
      </bottom>
      <diagonal/>
    </border>
    <border>
      <left/>
      <right style="thin">
        <color rgb="FFAEDB9A"/>
      </right>
      <top style="thin">
        <color rgb="FFAEDB9A"/>
      </top>
      <bottom style="thin">
        <color rgb="FFAEDB9A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horizontal="left"/>
    </xf>
    <xf numFmtId="166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0" fontId="0" fillId="4" borderId="0" xfId="0" applyFill="1" applyAlignment="1">
      <alignment horizontal="left"/>
    </xf>
    <xf numFmtId="166" fontId="0" fillId="4" borderId="0" xfId="0" applyNumberFormat="1" applyFill="1"/>
    <xf numFmtId="0" fontId="0" fillId="6" borderId="0" xfId="0" applyFill="1" applyAlignment="1">
      <alignment horizontal="left"/>
    </xf>
    <xf numFmtId="165" fontId="0" fillId="6" borderId="0" xfId="0" applyNumberFormat="1" applyFill="1"/>
    <xf numFmtId="0" fontId="1" fillId="4" borderId="0" xfId="0" applyFont="1" applyFill="1"/>
    <xf numFmtId="165" fontId="4" fillId="8" borderId="8" xfId="0" applyNumberFormat="1" applyFont="1" applyFill="1" applyBorder="1" applyAlignment="1">
      <alignment horizontal="center"/>
    </xf>
    <xf numFmtId="166" fontId="4" fillId="8" borderId="8" xfId="0" applyNumberFormat="1" applyFont="1" applyFill="1" applyBorder="1" applyAlignment="1">
      <alignment horizontal="center"/>
    </xf>
    <xf numFmtId="167" fontId="0" fillId="4" borderId="0" xfId="0" applyNumberFormat="1" applyFill="1"/>
    <xf numFmtId="0" fontId="4" fillId="7" borderId="6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4" fillId="7" borderId="7" xfId="0" applyFont="1" applyFill="1" applyBorder="1" applyAlignment="1">
      <alignment horizontal="center"/>
    </xf>
    <xf numFmtId="0" fontId="3" fillId="4" borderId="0" xfId="0" applyFont="1" applyFill="1"/>
    <xf numFmtId="168" fontId="7" fillId="9" borderId="0" xfId="0" applyNumberFormat="1" applyFont="1" applyFill="1"/>
    <xf numFmtId="169" fontId="7" fillId="9" borderId="0" xfId="0" applyNumberFormat="1" applyFont="1" applyFill="1"/>
    <xf numFmtId="0" fontId="14" fillId="5" borderId="0" xfId="0" applyFont="1" applyFill="1"/>
    <xf numFmtId="0" fontId="15" fillId="0" borderId="0" xfId="0" applyFont="1"/>
    <xf numFmtId="170" fontId="0" fillId="0" borderId="0" xfId="0" applyNumberFormat="1"/>
    <xf numFmtId="0" fontId="3" fillId="0" borderId="0" xfId="0" applyFont="1"/>
    <xf numFmtId="0" fontId="3" fillId="10" borderId="0" xfId="0" applyFont="1" applyFill="1"/>
    <xf numFmtId="0" fontId="7" fillId="0" borderId="0" xfId="0" applyFont="1"/>
    <xf numFmtId="168" fontId="0" fillId="0" borderId="0" xfId="0" applyNumberFormat="1"/>
    <xf numFmtId="0" fontId="0" fillId="0" borderId="0" xfId="0" applyAlignment="1">
      <alignment horizontal="right"/>
    </xf>
    <xf numFmtId="171" fontId="0" fillId="0" borderId="0" xfId="0" applyNumberFormat="1"/>
    <xf numFmtId="168" fontId="3" fillId="0" borderId="0" xfId="0" applyNumberFormat="1" applyFont="1"/>
    <xf numFmtId="0" fontId="16" fillId="0" borderId="0" xfId="0" applyFont="1"/>
    <xf numFmtId="0" fontId="3" fillId="10" borderId="0" xfId="0" applyFont="1" applyFill="1" applyAlignment="1">
      <alignment wrapText="1"/>
    </xf>
    <xf numFmtId="169" fontId="0" fillId="0" borderId="0" xfId="0" applyNumberFormat="1"/>
    <xf numFmtId="169" fontId="3" fillId="0" borderId="0" xfId="0" applyNumberFormat="1" applyFont="1"/>
    <xf numFmtId="0" fontId="13" fillId="8" borderId="13" xfId="0" applyFont="1" applyFill="1" applyBorder="1" applyAlignment="1">
      <alignment horizontal="left" vertical="center" wrapText="1" indent="1"/>
    </xf>
    <xf numFmtId="0" fontId="13" fillId="8" borderId="12" xfId="0" applyFont="1" applyFill="1" applyBorder="1" applyAlignment="1">
      <alignment horizontal="left" vertical="center" wrapText="1" indent="1"/>
    </xf>
    <xf numFmtId="0" fontId="13" fillId="8" borderId="14" xfId="0" applyFont="1" applyFill="1" applyBorder="1" applyAlignment="1">
      <alignment horizontal="left" vertical="center" wrapText="1" indent="1"/>
    </xf>
    <xf numFmtId="0" fontId="12" fillId="11" borderId="13" xfId="0" applyFont="1" applyFill="1" applyBorder="1" applyAlignment="1">
      <alignment horizontal="left" vertical="center" wrapText="1" indent="1"/>
    </xf>
    <xf numFmtId="0" fontId="12" fillId="11" borderId="12" xfId="0" applyFont="1" applyFill="1" applyBorder="1" applyAlignment="1">
      <alignment horizontal="left" vertical="center" wrapText="1" indent="1"/>
    </xf>
    <xf numFmtId="0" fontId="12" fillId="11" borderId="14" xfId="0" applyFont="1" applyFill="1" applyBorder="1" applyAlignment="1">
      <alignment horizontal="left" vertical="center" wrapText="1" indent="1"/>
    </xf>
    <xf numFmtId="0" fontId="13" fillId="8" borderId="13" xfId="0" applyFont="1" applyFill="1" applyBorder="1" applyAlignment="1">
      <alignment vertical="center" wrapText="1" indent="1"/>
    </xf>
    <xf numFmtId="0" fontId="13" fillId="8" borderId="12" xfId="0" applyFont="1" applyFill="1" applyBorder="1" applyAlignment="1">
      <alignment vertical="center" wrapText="1" indent="1"/>
    </xf>
    <xf numFmtId="0" fontId="13" fillId="8" borderId="14" xfId="0" applyFont="1" applyFill="1" applyBorder="1" applyAlignment="1">
      <alignment vertical="center" wrapText="1" indent="1"/>
    </xf>
    <xf numFmtId="0" fontId="11" fillId="4" borderId="0" xfId="0" applyFont="1" applyFill="1" applyAlignment="1">
      <alignment horizontal="center" vertical="center"/>
    </xf>
    <xf numFmtId="0" fontId="12" fillId="5" borderId="13" xfId="0" applyFont="1" applyFill="1" applyBorder="1" applyAlignment="1">
      <alignment horizontal="left" vertical="center" indent="1"/>
    </xf>
    <xf numFmtId="0" fontId="12" fillId="5" borderId="12" xfId="0" applyFont="1" applyFill="1" applyBorder="1" applyAlignment="1">
      <alignment horizontal="left" vertical="center" indent="1"/>
    </xf>
    <xf numFmtId="0" fontId="12" fillId="5" borderId="14" xfId="0" applyFont="1" applyFill="1" applyBorder="1" applyAlignment="1">
      <alignment horizontal="left" vertical="center" indent="1"/>
    </xf>
    <xf numFmtId="0" fontId="2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60">
    <dxf>
      <font>
        <color rgb="FFC0392B"/>
      </font>
    </dxf>
    <dxf>
      <font>
        <color rgb="FF2E7D32"/>
      </font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FFFFFF"/>
      </font>
      <fill>
        <patternFill patternType="solid">
          <fgColor indexed="64"/>
          <bgColor rgb="FF4EA72E"/>
        </patternFill>
      </fill>
    </dxf>
    <dxf>
      <font>
        <color rgb="FFC0392B"/>
      </font>
    </dxf>
    <dxf>
      <font>
        <color rgb="FF2E7D32"/>
      </font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FFFFFF"/>
      </font>
      <fill>
        <patternFill patternType="solid">
          <fgColor indexed="64"/>
          <bgColor rgb="FF4EA72E"/>
        </patternFill>
      </fill>
    </dxf>
    <dxf>
      <font>
        <color rgb="FFC0392B"/>
      </font>
    </dxf>
    <dxf>
      <font>
        <color rgb="FF2E7D32"/>
      </font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FFFFFF"/>
      </font>
      <fill>
        <patternFill patternType="solid">
          <fgColor indexed="64"/>
          <bgColor rgb="FF4EA72E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 diagonalUp="0" diagonalDown="0" outline="0">
        <left/>
        <right/>
        <top style="thin">
          <color rgb="FF4EA72E"/>
        </top>
        <bottom style="thin">
          <color rgb="FF4EA72E"/>
        </bottom>
      </border>
    </dxf>
    <dxf>
      <font>
        <color rgb="FF000000"/>
      </font>
    </dxf>
    <dxf>
      <font>
        <b/>
      </font>
    </dxf>
    <dxf>
      <fill>
        <patternFill patternType="solid">
          <fgColor indexed="64"/>
          <bgColor rgb="FFFFFFFF"/>
        </patternFill>
      </fill>
    </dxf>
    <dxf>
      <border diagonalUp="0" diagonalDown="0" outline="0">
        <left/>
        <right/>
        <top/>
        <bottom style="thin">
          <color rgb="FF4EA72E"/>
        </bottom>
      </border>
    </dxf>
    <dxf>
      <font>
        <color rgb="FF000000"/>
      </font>
    </dxf>
    <dxf>
      <font>
        <b/>
      </font>
    </dxf>
    <dxf>
      <fill>
        <patternFill patternType="solid">
          <fgColor indexed="64"/>
          <bgColor rgb="FFDAF2D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" formatCode="0"/>
    </dxf>
    <dxf>
      <numFmt numFmtId="19" formatCode="d/m/yyyy"/>
    </dxf>
    <dxf>
      <numFmt numFmtId="30" formatCode="@"/>
    </dxf>
    <dxf>
      <numFmt numFmtId="19" formatCode="d/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3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[PreEntrega_Dashboard_DelCorral_Yesica.xlsx]Tablas_Dinamicas!Ventas Anuales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Ventas</a:t>
            </a:r>
            <a:r>
              <a:rPr lang="es-AR" b="1" baseline="0"/>
              <a:t> Anuales</a:t>
            </a:r>
            <a:endParaRPr lang="es-A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5E9E50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A7F2E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5420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 &quot;#,##0,,&quot; 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E542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9E50"/>
          </a:solidFill>
          <a:ln>
            <a:noFill/>
          </a:ln>
          <a:effectLst/>
        </c:spPr>
      </c:pivotFmt>
      <c:pivotFmt>
        <c:idx val="5"/>
        <c:spPr>
          <a:solidFill>
            <a:srgbClr val="3A7F2E"/>
          </a:solidFill>
          <a:ln>
            <a:noFill/>
          </a:ln>
          <a:effectLst/>
        </c:spPr>
      </c:pivotFmt>
      <c:pivotFmt>
        <c:idx val="6"/>
        <c:spPr>
          <a:solidFill>
            <a:srgbClr val="1E542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9E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0E1-48DE-8754-426C53F409CF}"/>
              </c:ext>
            </c:extLst>
          </c:dPt>
          <c:dPt>
            <c:idx val="1"/>
            <c:invertIfNegative val="0"/>
            <c:bubble3D val="0"/>
            <c:spPr>
              <a:solidFill>
                <a:srgbClr val="3A7F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E1-48DE-8754-426C53F409CF}"/>
              </c:ext>
            </c:extLst>
          </c:dPt>
          <c:dPt>
            <c:idx val="2"/>
            <c:invertIfNegative val="0"/>
            <c:bubble3D val="0"/>
            <c:spPr>
              <a:solidFill>
                <a:srgbClr val="1E54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0E1-48DE-8754-426C53F409CF}"/>
              </c:ext>
            </c:extLst>
          </c:dPt>
          <c:dLbls>
            <c:numFmt formatCode="&quot;$ &quot;#,##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E542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Tablas_Dinamicas!$A$8:$A$11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Tablas_Dinamicas!$B$8:$B$11</c:f>
              <c:numCache>
                <c:formatCode>\$\ #,##0.00;\-\$\ #,##0.00;\$\ #,##0.00</c:formatCode>
                <c:ptCount val="3"/>
                <c:pt idx="0">
                  <c:v>437291629.94</c:v>
                </c:pt>
                <c:pt idx="1">
                  <c:v>483235395.83999985</c:v>
                </c:pt>
                <c:pt idx="2">
                  <c:v>368574871.03000033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1-48DE-8754-426C53F40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90841903"/>
        <c:axId val="2025691599"/>
      </c:barChart>
      <c:catAx>
        <c:axId val="29084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1E542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25691599"/>
        <c:crosses val="autoZero"/>
        <c:auto val="1"/>
        <c:lblAlgn val="ctr"/>
        <c:lblOffset val="100"/>
        <c:noMultiLvlLbl val="0"/>
      </c:catAx>
      <c:valAx>
        <c:axId val="2025691599"/>
        <c:scaling>
          <c:orientation val="minMax"/>
        </c:scaling>
        <c:delete val="1"/>
        <c:axPos val="l"/>
        <c:numFmt formatCode="&quot;$ &quot;#,##0,,&quot; M&quot;" sourceLinked="0"/>
        <c:majorTickMark val="none"/>
        <c:minorTickMark val="none"/>
        <c:tickLblPos val="nextTo"/>
        <c:crossAx val="29084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A9D18E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[PreEntrega_Dashboard_DelCorral_Yesica.xlsx]Tablas_Dinamicas!Margen por Producto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Margen</a:t>
            </a:r>
            <a:r>
              <a:rPr lang="en-US" b="1" baseline="0"/>
              <a:t> por Producto</a:t>
            </a:r>
            <a:endParaRPr lang="en-US" b="1"/>
          </a:p>
        </c:rich>
      </c:tx>
      <c:layout>
        <c:manualLayout>
          <c:xMode val="edge"/>
          <c:yMode val="edge"/>
          <c:x val="0.34368159203980098"/>
          <c:y val="1.8749999999999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DA35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AB77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"/>
        <c:spPr>
          <a:solidFill>
            <a:srgbClr val="89C27D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"/>
        <c:spPr>
          <a:solidFill>
            <a:srgbClr val="AEDB9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5"/>
        <c:spPr>
          <a:solidFill>
            <a:srgbClr val="64A860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6"/>
        <c:spPr>
          <a:solidFill>
            <a:srgbClr val="73B26B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7"/>
        <c:spPr>
          <a:solidFill>
            <a:srgbClr val="91C783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8"/>
        <c:spPr>
          <a:solidFill>
            <a:srgbClr val="9FD18E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9"/>
        <c:spPr>
          <a:solidFill>
            <a:srgbClr val="98CC89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0"/>
        <c:spPr>
          <a:solidFill>
            <a:srgbClr val="A7D694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1"/>
        <c:spPr>
          <a:solidFill>
            <a:srgbClr val="82BC7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2"/>
        <c:spPr>
          <a:solidFill>
            <a:srgbClr val="6CAD66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734300936263566"/>
          <c:y val="0.19116412401574812"/>
          <c:w val="0.49751243781094528"/>
          <c:h val="0.6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Tablas_Dinamicas!$B$16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EDB9A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FB-4BD1-B5DB-A34962A1EB7E}"/>
              </c:ext>
            </c:extLst>
          </c:dPt>
          <c:dPt>
            <c:idx val="1"/>
            <c:invertIfNegative val="0"/>
            <c:bubble3D val="0"/>
            <c:spPr>
              <a:solidFill>
                <a:srgbClr val="A7D694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50FB-4BD1-B5DB-A34962A1EB7E}"/>
              </c:ext>
            </c:extLst>
          </c:dPt>
          <c:dPt>
            <c:idx val="2"/>
            <c:invertIfNegative val="0"/>
            <c:bubble3D val="0"/>
            <c:spPr>
              <a:solidFill>
                <a:srgbClr val="9FD18E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FB-4BD1-B5DB-A34962A1EB7E}"/>
              </c:ext>
            </c:extLst>
          </c:dPt>
          <c:dPt>
            <c:idx val="3"/>
            <c:invertIfNegative val="0"/>
            <c:bubble3D val="0"/>
            <c:spPr>
              <a:solidFill>
                <a:srgbClr val="98CC89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50FB-4BD1-B5DB-A34962A1EB7E}"/>
              </c:ext>
            </c:extLst>
          </c:dPt>
          <c:dPt>
            <c:idx val="4"/>
            <c:invertIfNegative val="0"/>
            <c:bubble3D val="0"/>
            <c:spPr>
              <a:solidFill>
                <a:srgbClr val="91C783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FB-4BD1-B5DB-A34962A1EB7E}"/>
              </c:ext>
            </c:extLst>
          </c:dPt>
          <c:dPt>
            <c:idx val="5"/>
            <c:invertIfNegative val="0"/>
            <c:bubble3D val="0"/>
            <c:spPr>
              <a:solidFill>
                <a:srgbClr val="89C27D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50FB-4BD1-B5DB-A34962A1EB7E}"/>
              </c:ext>
            </c:extLst>
          </c:dPt>
          <c:dPt>
            <c:idx val="6"/>
            <c:invertIfNegative val="0"/>
            <c:bubble3D val="0"/>
            <c:spPr>
              <a:solidFill>
                <a:srgbClr val="82BC77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FB-4BD1-B5DB-A34962A1EB7E}"/>
              </c:ext>
            </c:extLst>
          </c:dPt>
          <c:dPt>
            <c:idx val="7"/>
            <c:invertIfNegative val="0"/>
            <c:bubble3D val="0"/>
            <c:spPr>
              <a:solidFill>
                <a:srgbClr val="7AB771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50FB-4BD1-B5DB-A34962A1EB7E}"/>
              </c:ext>
            </c:extLst>
          </c:dPt>
          <c:dPt>
            <c:idx val="8"/>
            <c:invertIfNegative val="0"/>
            <c:bubble3D val="0"/>
            <c:spPr>
              <a:solidFill>
                <a:srgbClr val="73B26B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FB-4BD1-B5DB-A34962A1EB7E}"/>
              </c:ext>
            </c:extLst>
          </c:dPt>
          <c:dPt>
            <c:idx val="9"/>
            <c:invertIfNegative val="0"/>
            <c:bubble3D val="0"/>
            <c:spPr>
              <a:solidFill>
                <a:srgbClr val="6CAD66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50FB-4BD1-B5DB-A34962A1EB7E}"/>
              </c:ext>
            </c:extLst>
          </c:dPt>
          <c:dPt>
            <c:idx val="10"/>
            <c:invertIfNegative val="0"/>
            <c:bubble3D val="0"/>
            <c:spPr>
              <a:solidFill>
                <a:srgbClr val="64A860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FB-4BD1-B5DB-A34962A1EB7E}"/>
              </c:ext>
            </c:extLst>
          </c:dPt>
          <c:dPt>
            <c:idx val="11"/>
            <c:invertIfNegative val="0"/>
            <c:bubble3D val="0"/>
            <c:spPr>
              <a:solidFill>
                <a:srgbClr val="5DA35A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50FB-4BD1-B5DB-A34962A1EB7E}"/>
              </c:ext>
            </c:extLst>
          </c:dPt>
          <c:dLbls>
            <c:dLbl>
              <c:idx val="1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FB-4BD1-B5DB-A34962A1EB7E}"/>
                </c:ext>
              </c:extLst>
            </c:dLbl>
            <c:numFmt formatCode="#,#00%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E3D1E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Tablas_Dinamicas!$A$17:$A$29</c:f>
              <c:strCache>
                <c:ptCount val="12"/>
                <c:pt idx="0">
                  <c:v>Cárnicos</c:v>
                </c:pt>
                <c:pt idx="1">
                  <c:v>Material de oficina</c:v>
                </c:pt>
                <c:pt idx="2">
                  <c:v>Doméstico</c:v>
                </c:pt>
                <c:pt idx="3">
                  <c:v>Frutas</c:v>
                </c:pt>
                <c:pt idx="4">
                  <c:v>Cuidado personal</c:v>
                </c:pt>
                <c:pt idx="5">
                  <c:v>Bebida</c:v>
                </c:pt>
                <c:pt idx="6">
                  <c:v>Snacks</c:v>
                </c:pt>
                <c:pt idx="7">
                  <c:v>Alimento infantil</c:v>
                </c:pt>
                <c:pt idx="8">
                  <c:v>Cosméticos</c:v>
                </c:pt>
                <c:pt idx="9">
                  <c:v>Verduras</c:v>
                </c:pt>
                <c:pt idx="10">
                  <c:v>Cereales</c:v>
                </c:pt>
                <c:pt idx="11">
                  <c:v>Ropa</c:v>
                </c:pt>
              </c:strCache>
            </c:strRef>
          </c:cat>
          <c:val>
            <c:numRef>
              <c:f>Tablas_Dinamicas!$B$17:$B$29</c:f>
              <c:numCache>
                <c:formatCode>0.00\ %;\-0.00\ %;0.00\ %</c:formatCode>
                <c:ptCount val="12"/>
                <c:pt idx="0">
                  <c:v>0.13558036455000139</c:v>
                </c:pt>
                <c:pt idx="1">
                  <c:v>0.1938698730056358</c:v>
                </c:pt>
                <c:pt idx="2">
                  <c:v>0.24799856345489157</c:v>
                </c:pt>
                <c:pt idx="3">
                  <c:v>0.25830653804930342</c:v>
                </c:pt>
                <c:pt idx="4">
                  <c:v>0.30661935641747223</c:v>
                </c:pt>
                <c:pt idx="5">
                  <c:v>0.33003161222339317</c:v>
                </c:pt>
                <c:pt idx="6">
                  <c:v>0.36138419189933119</c:v>
                </c:pt>
                <c:pt idx="7">
                  <c:v>0.37550924475086173</c:v>
                </c:pt>
                <c:pt idx="8">
                  <c:v>0.39768984446477573</c:v>
                </c:pt>
                <c:pt idx="9">
                  <c:v>0.40977541217707403</c:v>
                </c:pt>
                <c:pt idx="10">
                  <c:v>0.43067574137092846</c:v>
                </c:pt>
                <c:pt idx="11">
                  <c:v>0.67203513909224011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B-4BD1-B5DB-A34962A1E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90513263"/>
        <c:axId val="42141487"/>
      </c:barChart>
      <c:valAx>
        <c:axId val="42141487"/>
        <c:scaling>
          <c:orientation val="minMax"/>
        </c:scaling>
        <c:delete val="1"/>
        <c:axPos val="b"/>
        <c:numFmt formatCode="0%" sourceLinked="0"/>
        <c:majorTickMark val="out"/>
        <c:minorTickMark val="none"/>
        <c:tickLblPos val="nextTo"/>
        <c:crossAx val="1690513263"/>
        <c:crosses val="autoZero"/>
        <c:crossBetween val="between"/>
      </c:valAx>
      <c:catAx>
        <c:axId val="16905132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3D1E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14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A9D18E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[PreEntrega_Dashboard_DelCorral_Yesica.xlsx]Tablas_Dinamicas!Ventas por Zona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Ventas por Zona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DA35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"/>
        <c:spPr>
          <a:solidFill>
            <a:srgbClr val="6DB065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"/>
        <c:spPr>
          <a:solidFill>
            <a:srgbClr val="7DBC70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"/>
        <c:spPr>
          <a:solidFill>
            <a:srgbClr val="8EC77D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5"/>
        <c:spPr>
          <a:solidFill>
            <a:srgbClr val="9ED18B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6"/>
        <c:spPr>
          <a:solidFill>
            <a:srgbClr val="AEDB9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Tablas_Dinamicas!$G$16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DA35A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AC41-4DD8-99E2-3F520BE18159}"/>
              </c:ext>
            </c:extLst>
          </c:dPt>
          <c:dPt>
            <c:idx val="1"/>
            <c:bubble3D val="0"/>
            <c:spPr>
              <a:solidFill>
                <a:srgbClr val="6DB065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41-4DD8-99E2-3F520BE18159}"/>
              </c:ext>
            </c:extLst>
          </c:dPt>
          <c:dPt>
            <c:idx val="2"/>
            <c:bubble3D val="0"/>
            <c:spPr>
              <a:solidFill>
                <a:srgbClr val="7DBC70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AC41-4DD8-99E2-3F520BE18159}"/>
              </c:ext>
            </c:extLst>
          </c:dPt>
          <c:dPt>
            <c:idx val="3"/>
            <c:bubble3D val="0"/>
            <c:spPr>
              <a:solidFill>
                <a:srgbClr val="8EC77D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41-4DD8-99E2-3F520BE18159}"/>
              </c:ext>
            </c:extLst>
          </c:dPt>
          <c:dPt>
            <c:idx val="4"/>
            <c:bubble3D val="0"/>
            <c:spPr>
              <a:solidFill>
                <a:srgbClr val="9ED18B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AC41-4DD8-99E2-3F520BE18159}"/>
              </c:ext>
            </c:extLst>
          </c:dPt>
          <c:dPt>
            <c:idx val="5"/>
            <c:bubble3D val="0"/>
            <c:spPr>
              <a:solidFill>
                <a:srgbClr val="AEDB9A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41-4DD8-99E2-3F520BE18159}"/>
              </c:ext>
            </c:extLst>
          </c:dPt>
          <c:dLbls>
            <c:dLbl>
              <c:idx val="5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41-4DD8-99E2-3F520BE1815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E3D1E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Tablas_Dinamicas!$F$17:$F$23</c:f>
              <c:strCache>
                <c:ptCount val="6"/>
                <c:pt idx="0">
                  <c:v>África</c:v>
                </c:pt>
                <c:pt idx="1">
                  <c:v>Europa</c:v>
                </c:pt>
                <c:pt idx="2">
                  <c:v>Asia</c:v>
                </c:pt>
                <c:pt idx="3">
                  <c:v>Centroamérica y Caribe</c:v>
                </c:pt>
                <c:pt idx="4">
                  <c:v>Australia y Oceanía</c:v>
                </c:pt>
                <c:pt idx="5">
                  <c:v>Norteamérica</c:v>
                </c:pt>
              </c:strCache>
            </c:strRef>
          </c:cat>
          <c:val>
            <c:numRef>
              <c:f>Tablas_Dinamicas!$G$17:$G$23</c:f>
              <c:numCache>
                <c:formatCode>\$\ #,##0.00;\-\$\ #,##0.00;\$\ #,##0.00</c:formatCode>
                <c:ptCount val="6"/>
                <c:pt idx="0">
                  <c:v>505512606.95999974</c:v>
                </c:pt>
                <c:pt idx="1">
                  <c:v>286221256.88999981</c:v>
                </c:pt>
                <c:pt idx="2">
                  <c:v>198592335.5</c:v>
                </c:pt>
                <c:pt idx="3">
                  <c:v>145608250.83999991</c:v>
                </c:pt>
                <c:pt idx="4">
                  <c:v>125201457.04000002</c:v>
                </c:pt>
                <c:pt idx="5">
                  <c:v>27965989.580000006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1-4DD8-99E2-3F520BE1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A9D18E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[PreEntrega_Dashboard_DelCorral_Yesica.xlsx]Tablas_Dinamicas!Ventas Anuales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Ventas</a:t>
            </a:r>
            <a:r>
              <a:rPr lang="es-AR" b="1" baseline="0"/>
              <a:t> Anuales</a:t>
            </a:r>
            <a:endParaRPr lang="es-AR" b="1"/>
          </a:p>
        </c:rich>
      </c:tx>
      <c:layout>
        <c:manualLayout>
          <c:xMode val="edge"/>
          <c:yMode val="edge"/>
          <c:x val="0.344789186962094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5E9E50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A7F2E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5420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inBase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 &quot;#,##0,,&quot; 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E542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9E50"/>
          </a:solidFill>
          <a:ln>
            <a:noFill/>
          </a:ln>
          <a:effectLst/>
        </c:spPr>
      </c:pivotFmt>
      <c:pivotFmt>
        <c:idx val="5"/>
        <c:spPr>
          <a:solidFill>
            <a:srgbClr val="3A7F2E"/>
          </a:solidFill>
          <a:ln>
            <a:noFill/>
          </a:ln>
          <a:effectLst/>
        </c:spPr>
      </c:pivotFmt>
      <c:pivotFmt>
        <c:idx val="6"/>
        <c:spPr>
          <a:solidFill>
            <a:srgbClr val="1E5420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 &quot;#,##0,,&quot; 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E542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E9E50"/>
          </a:solidFill>
          <a:ln>
            <a:noFill/>
          </a:ln>
          <a:effectLst/>
        </c:spPr>
      </c:pivotFmt>
      <c:pivotFmt>
        <c:idx val="9"/>
        <c:spPr>
          <a:solidFill>
            <a:srgbClr val="3A7F2E"/>
          </a:solidFill>
          <a:ln>
            <a:noFill/>
          </a:ln>
          <a:effectLst/>
        </c:spPr>
      </c:pivotFmt>
      <c:pivotFmt>
        <c:idx val="10"/>
        <c:spPr>
          <a:solidFill>
            <a:srgbClr val="1E5420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 &quot;#,##0,,&quot; 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1E542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E9E50"/>
          </a:solidFill>
          <a:ln>
            <a:noFill/>
          </a:ln>
          <a:effectLst/>
        </c:spPr>
      </c:pivotFmt>
      <c:pivotFmt>
        <c:idx val="13"/>
        <c:spPr>
          <a:solidFill>
            <a:srgbClr val="3A7F2E"/>
          </a:solidFill>
          <a:ln>
            <a:noFill/>
          </a:ln>
          <a:effectLst/>
        </c:spPr>
      </c:pivotFmt>
      <c:pivotFmt>
        <c:idx val="14"/>
        <c:spPr>
          <a:solidFill>
            <a:srgbClr val="1E542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9E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65-443A-BD3B-ADD20B9208B8}"/>
              </c:ext>
            </c:extLst>
          </c:dPt>
          <c:dPt>
            <c:idx val="1"/>
            <c:invertIfNegative val="0"/>
            <c:bubble3D val="0"/>
            <c:spPr>
              <a:solidFill>
                <a:srgbClr val="3A7F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65-443A-BD3B-ADD20B9208B8}"/>
              </c:ext>
            </c:extLst>
          </c:dPt>
          <c:dPt>
            <c:idx val="2"/>
            <c:invertIfNegative val="0"/>
            <c:bubble3D val="0"/>
            <c:spPr>
              <a:solidFill>
                <a:srgbClr val="1E54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65-443A-BD3B-ADD20B9208B8}"/>
              </c:ext>
            </c:extLst>
          </c:dPt>
          <c:dLbls>
            <c:numFmt formatCode="&quot;$ &quot;#,##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E542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Tablas_Dinamicas!$A$8:$A$11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Tablas_Dinamicas!$B$8:$B$11</c:f>
              <c:numCache>
                <c:formatCode>\$\ #,##0.00;\-\$\ #,##0.00;\$\ #,##0.00</c:formatCode>
                <c:ptCount val="3"/>
                <c:pt idx="0">
                  <c:v>437291629.94</c:v>
                </c:pt>
                <c:pt idx="1">
                  <c:v>483235395.83999985</c:v>
                </c:pt>
                <c:pt idx="2">
                  <c:v>368574871.03000033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65-443A-BD3B-ADD20B920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90841903"/>
        <c:axId val="2025691599"/>
      </c:barChart>
      <c:catAx>
        <c:axId val="29084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1E542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25691599"/>
        <c:crosses val="autoZero"/>
        <c:auto val="1"/>
        <c:lblAlgn val="ctr"/>
        <c:lblOffset val="100"/>
        <c:noMultiLvlLbl val="0"/>
      </c:catAx>
      <c:valAx>
        <c:axId val="2025691599"/>
        <c:scaling>
          <c:orientation val="minMax"/>
        </c:scaling>
        <c:delete val="1"/>
        <c:axPos val="l"/>
        <c:numFmt formatCode="&quot;$ &quot;#,##0,,&quot; M&quot;" sourceLinked="0"/>
        <c:majorTickMark val="none"/>
        <c:minorTickMark val="none"/>
        <c:tickLblPos val="nextTo"/>
        <c:crossAx val="29084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A9D18E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[PreEntrega_Dashboard_DelCorral_Yesica.xlsx]Tablas_Dinamicas!Margen por Producto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Margen</a:t>
            </a:r>
            <a:r>
              <a:rPr lang="en-US" b="1" baseline="0"/>
              <a:t> por Producto</a:t>
            </a:r>
            <a:endParaRPr lang="en-US" b="1"/>
          </a:p>
        </c:rich>
      </c:tx>
      <c:layout>
        <c:manualLayout>
          <c:xMode val="edge"/>
          <c:yMode val="edge"/>
          <c:x val="0.34368159203980098"/>
          <c:y val="1.8749999999999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DA35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AB77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"/>
        <c:spPr>
          <a:solidFill>
            <a:srgbClr val="89C27D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"/>
        <c:spPr>
          <a:solidFill>
            <a:srgbClr val="AEDB9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5"/>
        <c:spPr>
          <a:solidFill>
            <a:srgbClr val="64A860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6"/>
        <c:spPr>
          <a:solidFill>
            <a:srgbClr val="73B26B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7"/>
        <c:spPr>
          <a:solidFill>
            <a:srgbClr val="91C783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8"/>
        <c:spPr>
          <a:solidFill>
            <a:srgbClr val="9FD18E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9"/>
        <c:spPr>
          <a:solidFill>
            <a:srgbClr val="98CC89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0"/>
        <c:spPr>
          <a:solidFill>
            <a:srgbClr val="A7D694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1"/>
        <c:spPr>
          <a:solidFill>
            <a:srgbClr val="82BC7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2"/>
        <c:spPr>
          <a:solidFill>
            <a:srgbClr val="6CAD66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AEDB9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5"/>
        <c:spPr>
          <a:solidFill>
            <a:srgbClr val="A7D694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6"/>
        <c:spPr>
          <a:solidFill>
            <a:srgbClr val="9FD18E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7"/>
        <c:spPr>
          <a:solidFill>
            <a:srgbClr val="98CC89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8"/>
        <c:spPr>
          <a:solidFill>
            <a:srgbClr val="91C783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9"/>
        <c:spPr>
          <a:solidFill>
            <a:srgbClr val="89C27D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0"/>
        <c:spPr>
          <a:solidFill>
            <a:srgbClr val="82BC7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1"/>
        <c:spPr>
          <a:solidFill>
            <a:srgbClr val="7AB77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2"/>
        <c:spPr>
          <a:solidFill>
            <a:srgbClr val="73B26B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3"/>
        <c:spPr>
          <a:solidFill>
            <a:srgbClr val="6CAD66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4"/>
        <c:spPr>
          <a:solidFill>
            <a:srgbClr val="64A860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5"/>
        <c:spPr>
          <a:solidFill>
            <a:srgbClr val="5DA35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AEDB9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8"/>
        <c:spPr>
          <a:solidFill>
            <a:srgbClr val="A7D694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9"/>
        <c:spPr>
          <a:solidFill>
            <a:srgbClr val="9FD18E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0"/>
        <c:spPr>
          <a:solidFill>
            <a:srgbClr val="98CC89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1"/>
        <c:spPr>
          <a:solidFill>
            <a:srgbClr val="91C783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2"/>
        <c:spPr>
          <a:solidFill>
            <a:srgbClr val="89C27D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3"/>
        <c:spPr>
          <a:solidFill>
            <a:srgbClr val="82BC77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4"/>
        <c:spPr>
          <a:solidFill>
            <a:srgbClr val="7AB77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5"/>
        <c:spPr>
          <a:solidFill>
            <a:srgbClr val="73B26B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6"/>
        <c:spPr>
          <a:solidFill>
            <a:srgbClr val="6CAD66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7"/>
        <c:spPr>
          <a:solidFill>
            <a:srgbClr val="64A860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8"/>
        <c:spPr>
          <a:solidFill>
            <a:srgbClr val="5DA35A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#,#00%" sourceLinked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34300936263566"/>
          <c:y val="0.19116412401574812"/>
          <c:w val="0.49751243781094528"/>
          <c:h val="0.6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Tablas_Dinamicas!$B$16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EDB9A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8-44CD-993A-5A9A88166B6D}"/>
              </c:ext>
            </c:extLst>
          </c:dPt>
          <c:dPt>
            <c:idx val="1"/>
            <c:invertIfNegative val="0"/>
            <c:bubble3D val="0"/>
            <c:spPr>
              <a:solidFill>
                <a:srgbClr val="A7D694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8-44CD-993A-5A9A88166B6D}"/>
              </c:ext>
            </c:extLst>
          </c:dPt>
          <c:dPt>
            <c:idx val="2"/>
            <c:invertIfNegative val="0"/>
            <c:bubble3D val="0"/>
            <c:spPr>
              <a:solidFill>
                <a:srgbClr val="9FD18E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68-44CD-993A-5A9A88166B6D}"/>
              </c:ext>
            </c:extLst>
          </c:dPt>
          <c:dPt>
            <c:idx val="3"/>
            <c:invertIfNegative val="0"/>
            <c:bubble3D val="0"/>
            <c:spPr>
              <a:solidFill>
                <a:srgbClr val="98CC89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68-44CD-993A-5A9A88166B6D}"/>
              </c:ext>
            </c:extLst>
          </c:dPt>
          <c:dPt>
            <c:idx val="4"/>
            <c:invertIfNegative val="0"/>
            <c:bubble3D val="0"/>
            <c:spPr>
              <a:solidFill>
                <a:srgbClr val="91C783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68-44CD-993A-5A9A88166B6D}"/>
              </c:ext>
            </c:extLst>
          </c:dPt>
          <c:dPt>
            <c:idx val="5"/>
            <c:invertIfNegative val="0"/>
            <c:bubble3D val="0"/>
            <c:spPr>
              <a:solidFill>
                <a:srgbClr val="89C27D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E68-44CD-993A-5A9A88166B6D}"/>
              </c:ext>
            </c:extLst>
          </c:dPt>
          <c:dPt>
            <c:idx val="6"/>
            <c:invertIfNegative val="0"/>
            <c:bubble3D val="0"/>
            <c:spPr>
              <a:solidFill>
                <a:srgbClr val="82BC77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E68-44CD-993A-5A9A88166B6D}"/>
              </c:ext>
            </c:extLst>
          </c:dPt>
          <c:dPt>
            <c:idx val="7"/>
            <c:invertIfNegative val="0"/>
            <c:bubble3D val="0"/>
            <c:spPr>
              <a:solidFill>
                <a:srgbClr val="7AB771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E68-44CD-993A-5A9A88166B6D}"/>
              </c:ext>
            </c:extLst>
          </c:dPt>
          <c:dPt>
            <c:idx val="8"/>
            <c:invertIfNegative val="0"/>
            <c:bubble3D val="0"/>
            <c:spPr>
              <a:solidFill>
                <a:srgbClr val="73B26B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E68-44CD-993A-5A9A88166B6D}"/>
              </c:ext>
            </c:extLst>
          </c:dPt>
          <c:dPt>
            <c:idx val="9"/>
            <c:invertIfNegative val="0"/>
            <c:bubble3D val="0"/>
            <c:spPr>
              <a:solidFill>
                <a:srgbClr val="6CAD66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E68-44CD-993A-5A9A88166B6D}"/>
              </c:ext>
            </c:extLst>
          </c:dPt>
          <c:dPt>
            <c:idx val="10"/>
            <c:invertIfNegative val="0"/>
            <c:bubble3D val="0"/>
            <c:spPr>
              <a:solidFill>
                <a:srgbClr val="64A860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E68-44CD-993A-5A9A88166B6D}"/>
              </c:ext>
            </c:extLst>
          </c:dPt>
          <c:dPt>
            <c:idx val="11"/>
            <c:invertIfNegative val="0"/>
            <c:bubble3D val="0"/>
            <c:spPr>
              <a:solidFill>
                <a:srgbClr val="5DA35A"/>
              </a:solidFill>
              <a:ln w="1270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E68-44CD-993A-5A9A88166B6D}"/>
              </c:ext>
            </c:extLst>
          </c:dPt>
          <c:dLbls>
            <c:dLbl>
              <c:idx val="1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E68-44CD-993A-5A9A88166B6D}"/>
                </c:ext>
              </c:extLst>
            </c:dLbl>
            <c:numFmt formatCode="#,#00%" sourceLinked="0"/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E3D1E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Tablas_Dinamicas!$A$17:$A$29</c:f>
              <c:strCache>
                <c:ptCount val="12"/>
                <c:pt idx="0">
                  <c:v>Cárnicos</c:v>
                </c:pt>
                <c:pt idx="1">
                  <c:v>Material de oficina</c:v>
                </c:pt>
                <c:pt idx="2">
                  <c:v>Doméstico</c:v>
                </c:pt>
                <c:pt idx="3">
                  <c:v>Frutas</c:v>
                </c:pt>
                <c:pt idx="4">
                  <c:v>Cuidado personal</c:v>
                </c:pt>
                <c:pt idx="5">
                  <c:v>Bebida</c:v>
                </c:pt>
                <c:pt idx="6">
                  <c:v>Snacks</c:v>
                </c:pt>
                <c:pt idx="7">
                  <c:v>Alimento infantil</c:v>
                </c:pt>
                <c:pt idx="8">
                  <c:v>Cosméticos</c:v>
                </c:pt>
                <c:pt idx="9">
                  <c:v>Verduras</c:v>
                </c:pt>
                <c:pt idx="10">
                  <c:v>Cereales</c:v>
                </c:pt>
                <c:pt idx="11">
                  <c:v>Ropa</c:v>
                </c:pt>
              </c:strCache>
            </c:strRef>
          </c:cat>
          <c:val>
            <c:numRef>
              <c:f>Tablas_Dinamicas!$B$17:$B$29</c:f>
              <c:numCache>
                <c:formatCode>0.00\ %;\-0.00\ %;0.00\ %</c:formatCode>
                <c:ptCount val="12"/>
                <c:pt idx="0">
                  <c:v>0.13558036455000139</c:v>
                </c:pt>
                <c:pt idx="1">
                  <c:v>0.1938698730056358</c:v>
                </c:pt>
                <c:pt idx="2">
                  <c:v>0.24799856345489157</c:v>
                </c:pt>
                <c:pt idx="3">
                  <c:v>0.25830653804930342</c:v>
                </c:pt>
                <c:pt idx="4">
                  <c:v>0.30661935641747223</c:v>
                </c:pt>
                <c:pt idx="5">
                  <c:v>0.33003161222339317</c:v>
                </c:pt>
                <c:pt idx="6">
                  <c:v>0.36138419189933119</c:v>
                </c:pt>
                <c:pt idx="7">
                  <c:v>0.37550924475086173</c:v>
                </c:pt>
                <c:pt idx="8">
                  <c:v>0.39768984446477573</c:v>
                </c:pt>
                <c:pt idx="9">
                  <c:v>0.40977541217707403</c:v>
                </c:pt>
                <c:pt idx="10">
                  <c:v>0.43067574137092846</c:v>
                </c:pt>
                <c:pt idx="11">
                  <c:v>0.67203513909224011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68-44CD-993A-5A9A8816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90513263"/>
        <c:axId val="42141487"/>
      </c:barChart>
      <c:valAx>
        <c:axId val="42141487"/>
        <c:scaling>
          <c:orientation val="minMax"/>
        </c:scaling>
        <c:delete val="1"/>
        <c:axPos val="b"/>
        <c:numFmt formatCode="0%" sourceLinked="0"/>
        <c:majorTickMark val="out"/>
        <c:minorTickMark val="none"/>
        <c:tickLblPos val="nextTo"/>
        <c:crossAx val="1690513263"/>
        <c:crosses val="autoZero"/>
        <c:crossBetween val="between"/>
      </c:valAx>
      <c:catAx>
        <c:axId val="16905132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3D1E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14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A9D18E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[PreEntrega_Dashboard_DelCorral_Yesica.xlsx]Tablas_Dinamicas!Ventas por Zona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Ventas por Zona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DA35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"/>
        <c:spPr>
          <a:solidFill>
            <a:srgbClr val="6DB065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3"/>
        <c:spPr>
          <a:solidFill>
            <a:srgbClr val="7DBC70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"/>
        <c:spPr>
          <a:solidFill>
            <a:srgbClr val="8EC77D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5"/>
        <c:spPr>
          <a:solidFill>
            <a:srgbClr val="9ED18B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6"/>
        <c:spPr>
          <a:solidFill>
            <a:srgbClr val="AEDB9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DA35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9"/>
        <c:spPr>
          <a:solidFill>
            <a:srgbClr val="6DB065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0"/>
        <c:spPr>
          <a:solidFill>
            <a:srgbClr val="7DBC70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1"/>
        <c:spPr>
          <a:solidFill>
            <a:srgbClr val="8EC77D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2"/>
        <c:spPr>
          <a:solidFill>
            <a:srgbClr val="9ED18B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3"/>
        <c:spPr>
          <a:solidFill>
            <a:srgbClr val="AEDB9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5DA35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6"/>
        <c:spPr>
          <a:solidFill>
            <a:srgbClr val="6DB065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7"/>
        <c:spPr>
          <a:solidFill>
            <a:srgbClr val="7DBC70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8"/>
        <c:spPr>
          <a:solidFill>
            <a:srgbClr val="8EC77D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9"/>
        <c:spPr>
          <a:solidFill>
            <a:srgbClr val="9ED18B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20"/>
        <c:spPr>
          <a:solidFill>
            <a:srgbClr val="AEDB9A"/>
          </a:solidFill>
          <a:ln w="1905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1E3D1E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Tablas_Dinamicas!$G$16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DA35A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0-4A96-91FB-706259BB99AA}"/>
              </c:ext>
            </c:extLst>
          </c:dPt>
          <c:dPt>
            <c:idx val="1"/>
            <c:bubble3D val="0"/>
            <c:spPr>
              <a:solidFill>
                <a:srgbClr val="6DB065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0-4A96-91FB-706259BB99AA}"/>
              </c:ext>
            </c:extLst>
          </c:dPt>
          <c:dPt>
            <c:idx val="2"/>
            <c:bubble3D val="0"/>
            <c:spPr>
              <a:solidFill>
                <a:srgbClr val="7DBC70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D0-4A96-91FB-706259BB99AA}"/>
              </c:ext>
            </c:extLst>
          </c:dPt>
          <c:dPt>
            <c:idx val="3"/>
            <c:bubble3D val="0"/>
            <c:spPr>
              <a:solidFill>
                <a:srgbClr val="8EC77D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D0-4A96-91FB-706259BB99AA}"/>
              </c:ext>
            </c:extLst>
          </c:dPt>
          <c:dPt>
            <c:idx val="4"/>
            <c:bubble3D val="0"/>
            <c:spPr>
              <a:solidFill>
                <a:srgbClr val="9ED18B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D0-4A96-91FB-706259BB99AA}"/>
              </c:ext>
            </c:extLst>
          </c:dPt>
          <c:dPt>
            <c:idx val="5"/>
            <c:bubble3D val="0"/>
            <c:spPr>
              <a:solidFill>
                <a:srgbClr val="AEDB9A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D0-4A96-91FB-706259BB99AA}"/>
              </c:ext>
            </c:extLst>
          </c:dPt>
          <c:dLbls>
            <c:dLbl>
              <c:idx val="5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D0-4A96-91FB-706259BB99A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E3D1E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Tablas_Dinamicas!$F$17:$F$23</c:f>
              <c:strCache>
                <c:ptCount val="6"/>
                <c:pt idx="0">
                  <c:v>África</c:v>
                </c:pt>
                <c:pt idx="1">
                  <c:v>Europa</c:v>
                </c:pt>
                <c:pt idx="2">
                  <c:v>Asia</c:v>
                </c:pt>
                <c:pt idx="3">
                  <c:v>Centroamérica y Caribe</c:v>
                </c:pt>
                <c:pt idx="4">
                  <c:v>Australia y Oceanía</c:v>
                </c:pt>
                <c:pt idx="5">
                  <c:v>Norteamérica</c:v>
                </c:pt>
              </c:strCache>
            </c:strRef>
          </c:cat>
          <c:val>
            <c:numRef>
              <c:f>Tablas_Dinamicas!$G$17:$G$23</c:f>
              <c:numCache>
                <c:formatCode>\$\ #,##0.00;\-\$\ #,##0.00;\$\ #,##0.00</c:formatCode>
                <c:ptCount val="6"/>
                <c:pt idx="0">
                  <c:v>505512606.95999974</c:v>
                </c:pt>
                <c:pt idx="1">
                  <c:v>286221256.88999981</c:v>
                </c:pt>
                <c:pt idx="2">
                  <c:v>198592335.5</c:v>
                </c:pt>
                <c:pt idx="3">
                  <c:v>145608250.83999991</c:v>
                </c:pt>
                <c:pt idx="4">
                  <c:v>125201457.04000002</c:v>
                </c:pt>
                <c:pt idx="5">
                  <c:v>27965989.580000006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D0-4A96-91FB-706259BB9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A9D18E"/>
      </a:solidFill>
      <a:prstDash val="solid"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4EA7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 en $ vs. margen % por producto (total 2020–2022, no cambia con los segmentadores)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4EA72E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Apoyo!$J$14</c:f>
              <c:strCache>
                <c:ptCount val="1"/>
                <c:pt idx="0">
                  <c:v>Ganancia ($)</c:v>
                </c:pt>
              </c:strCache>
            </c:strRef>
          </c:tx>
          <c:spPr>
            <a:solidFill>
              <a:srgbClr val="5DA35A"/>
            </a:solidFill>
            <a:ln>
              <a:noFill/>
            </a:ln>
            <a:effectLst/>
          </c:spPr>
          <c:invertIfNegative val="0"/>
          <c:dLbls>
            <c:numFmt formatCode="&quot;$&quot;\ #,##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Apoyo!$I$15:$I$26</c:f>
              <c:strCache>
                <c:ptCount val="12"/>
                <c:pt idx="0">
                  <c:v>Doméstico</c:v>
                </c:pt>
                <c:pt idx="1">
                  <c:v>Cosméticos</c:v>
                </c:pt>
                <c:pt idx="2">
                  <c:v>Material de oficina</c:v>
                </c:pt>
                <c:pt idx="3">
                  <c:v>Alimento infantil</c:v>
                </c:pt>
                <c:pt idx="4">
                  <c:v>Cereales</c:v>
                </c:pt>
                <c:pt idx="5">
                  <c:v>Ropa</c:v>
                </c:pt>
                <c:pt idx="6">
                  <c:v>Verduras</c:v>
                </c:pt>
                <c:pt idx="7">
                  <c:v>Snacks</c:v>
                </c:pt>
                <c:pt idx="8">
                  <c:v>Cárnicos</c:v>
                </c:pt>
                <c:pt idx="9">
                  <c:v>Cuidado personal</c:v>
                </c:pt>
                <c:pt idx="10">
                  <c:v>Bebida</c:v>
                </c:pt>
                <c:pt idx="11">
                  <c:v>Frutas</c:v>
                </c:pt>
              </c:strCache>
            </c:strRef>
          </c:cat>
          <c:val>
            <c:numRef>
              <c:f>Apoyo!$J$15:$J$26</c:f>
              <c:numCache>
                <c:formatCode>"$"\ #,##0,,\ "M"</c:formatCode>
                <c:ptCount val="12"/>
                <c:pt idx="0">
                  <c:v>66660914.980000168</c:v>
                </c:pt>
                <c:pt idx="1">
                  <c:v>64511333.839999974</c:v>
                </c:pt>
                <c:pt idx="2">
                  <c:v>45996031.25000003</c:v>
                </c:pt>
                <c:pt idx="3">
                  <c:v>41386500.539999992</c:v>
                </c:pt>
                <c:pt idx="4">
                  <c:v>40225618.349999987</c:v>
                </c:pt>
                <c:pt idx="5">
                  <c:v>27712143.359999999</c:v>
                </c:pt>
                <c:pt idx="6">
                  <c:v>26069091.590000011</c:v>
                </c:pt>
                <c:pt idx="7">
                  <c:v>25714814.699999973</c:v>
                </c:pt>
                <c:pt idx="8">
                  <c:v>24204180.00000003</c:v>
                </c:pt>
                <c:pt idx="9">
                  <c:v>11406810.800000001</c:v>
                </c:pt>
                <c:pt idx="10">
                  <c:v>7151107.6800000034</c:v>
                </c:pt>
                <c:pt idx="11">
                  <c:v>986832.34000000032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8-45EF-9D4A-33AF08DE2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647274575"/>
        <c:axId val="42320527"/>
      </c:barChart>
      <c:lineChart>
        <c:grouping val="standard"/>
        <c:varyColors val="0"/>
        <c:ser>
          <c:idx val="1"/>
          <c:order val="1"/>
          <c:tx>
            <c:strRef>
              <c:f>Apoyo!$K$14</c:f>
              <c:strCache>
                <c:ptCount val="1"/>
                <c:pt idx="0">
                  <c:v>Margen %</c:v>
                </c:pt>
              </c:strCache>
            </c:strRef>
          </c:tx>
          <c:spPr>
            <a:ln w="31750" cap="rnd" cmpd="sng" algn="ctr">
              <a:solidFill>
                <a:srgbClr val="C0392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6"/>
            <c:spPr>
              <a:solidFill>
                <a:srgbClr val="C0392B"/>
              </a:solidFill>
              <a:ln w="9525">
                <a:solidFill>
                  <a:srgbClr val="C0392B"/>
                </a:solidFill>
                <a:prstDash val="solid"/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392B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Apoyo!$I$15:$I$26</c:f>
              <c:strCache>
                <c:ptCount val="12"/>
                <c:pt idx="0">
                  <c:v>Doméstico</c:v>
                </c:pt>
                <c:pt idx="1">
                  <c:v>Cosméticos</c:v>
                </c:pt>
                <c:pt idx="2">
                  <c:v>Material de oficina</c:v>
                </c:pt>
                <c:pt idx="3">
                  <c:v>Alimento infantil</c:v>
                </c:pt>
                <c:pt idx="4">
                  <c:v>Cereales</c:v>
                </c:pt>
                <c:pt idx="5">
                  <c:v>Ropa</c:v>
                </c:pt>
                <c:pt idx="6">
                  <c:v>Verduras</c:v>
                </c:pt>
                <c:pt idx="7">
                  <c:v>Snacks</c:v>
                </c:pt>
                <c:pt idx="8">
                  <c:v>Cárnicos</c:v>
                </c:pt>
                <c:pt idx="9">
                  <c:v>Cuidado personal</c:v>
                </c:pt>
                <c:pt idx="10">
                  <c:v>Bebida</c:v>
                </c:pt>
                <c:pt idx="11">
                  <c:v>Frutas</c:v>
                </c:pt>
              </c:strCache>
            </c:strRef>
          </c:cat>
          <c:val>
            <c:numRef>
              <c:f>Apoyo!$K$15:$K$26</c:f>
              <c:numCache>
                <c:formatCode>0.0%</c:formatCode>
                <c:ptCount val="12"/>
                <c:pt idx="0">
                  <c:v>0.24799856345489157</c:v>
                </c:pt>
                <c:pt idx="1">
                  <c:v>0.39768984446477573</c:v>
                </c:pt>
                <c:pt idx="2">
                  <c:v>0.1938698730056358</c:v>
                </c:pt>
                <c:pt idx="3">
                  <c:v>0.37550924475086173</c:v>
                </c:pt>
                <c:pt idx="4">
                  <c:v>0.43067574137092846</c:v>
                </c:pt>
                <c:pt idx="5">
                  <c:v>0.67203513909224011</c:v>
                </c:pt>
                <c:pt idx="6">
                  <c:v>0.40977541217707403</c:v>
                </c:pt>
                <c:pt idx="7">
                  <c:v>0.36138419189933119</c:v>
                </c:pt>
                <c:pt idx="8">
                  <c:v>0.13558036455000139</c:v>
                </c:pt>
                <c:pt idx="9">
                  <c:v>0.30661935641747223</c:v>
                </c:pt>
                <c:pt idx="10">
                  <c:v>0.33003161222339317</c:v>
                </c:pt>
                <c:pt idx="11">
                  <c:v>0.25830653804930342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8-45EF-9D4A-33AF08DE2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292207"/>
        <c:axId val="42326287"/>
      </c:lineChart>
      <c:catAx>
        <c:axId val="6472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3D1E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320527"/>
        <c:crosses val="autoZero"/>
        <c:auto val="1"/>
        <c:lblAlgn val="ctr"/>
        <c:lblOffset val="100"/>
        <c:noMultiLvlLbl val="0"/>
      </c:catAx>
      <c:valAx>
        <c:axId val="4232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5EFE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&quot;$&quot;\ 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3D1E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274575"/>
        <c:crosses val="autoZero"/>
        <c:crossBetween val="between"/>
      </c:valAx>
      <c:valAx>
        <c:axId val="42326287"/>
        <c:scaling>
          <c:orientation val="minMax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392B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47292207"/>
        <c:crosses val="max"/>
        <c:crossBetween val="between"/>
      </c:valAx>
      <c:catAx>
        <c:axId val="647292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326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E3D1E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AEDB9A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De $1.289 M vendidos, quedan $382 M de ganancia (margen 29,6%)</cx:v>
        </cx:txData>
      </cx:tx>
      <cx:txPr>
        <a:bodyPr vertOverflow="overflow" horzOverflow="overflow" wrap="square" lIns="0" tIns="0" rIns="0" bIns="0"/>
        <a:lstStyle/>
        <a:p>
          <a:pPr algn="ctr" rtl="0">
            <a:defRPr sz="1200" b="1" i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s-AR" sz="1200" b="1">
              <a:solidFill>
                <a:srgbClr val="595959"/>
              </a:solidFill>
              <a:latin typeface="Aptos Narrow" panose="020B0004020202020204" pitchFamily="34" charset="0"/>
            </a:rPr>
            <a:t>De $1.289 M vendidos, quedan $382 M de ganancia (margen 29,6%)</a:t>
          </a:r>
        </a:p>
      </cx:txPr>
    </cx:title>
    <cx:plotArea>
      <cx:plotAreaRegion>
        <cx:series layoutId="waterfall" uniqueId="{00000000-6E04-4AD6-BE22-F5FCEC7F6F5A}">
          <cx:spPr>
            <a:solidFill>
              <a:srgbClr val="5DA35A"/>
            </a:solidFill>
          </cx:spPr>
          <cx:dataPt idx="1">
            <cx:spPr>
              <a:solidFill>
                <a:srgbClr val="4EA72E">
                  <a:lumMod val="60000"/>
                  <a:lumOff val="40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1E3D1E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AR" b="1">
                  <a:solidFill>
                    <a:srgbClr val="1E3D1E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0.5"/>
        <cx:tickLabels/>
        <cx:spPr>
          <a:ln>
            <a:noFill/>
          </a:ln>
        </cx:spPr>
      </cx:axis>
      <cx:axis id="1" hidden="1">
        <cx:valScaling/>
        <cx:tickLabels/>
      </cx:axis>
    </cx:plotArea>
  </cx:chart>
  <cx:spPr>
    <a:ln w="12700">
      <a:solidFill>
        <a:srgbClr val="A9D18E"/>
      </a:solidFill>
      <a:prstDash val="solid"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De $1.289 M vendidos, quedan $382 M de ganancia (margen 29,6%)</cx:v>
        </cx:txData>
      </cx:tx>
      <cx:txPr>
        <a:bodyPr vertOverflow="overflow" horzOverflow="overflow" wrap="square" lIns="0" tIns="0" rIns="0" bIns="0"/>
        <a:lstStyle/>
        <a:p>
          <a:pPr algn="ctr" rtl="0">
            <a:defRPr sz="1200" b="1" i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s-AR" sz="1200" b="1">
              <a:solidFill>
                <a:srgbClr val="595959"/>
              </a:solidFill>
              <a:latin typeface="Aptos Narrow" panose="020B0004020202020204" pitchFamily="34" charset="0"/>
            </a:rPr>
            <a:t>De $1.289 M vendidos, quedan $382 M de ganancia (margen 29,6%)</a:t>
          </a:r>
        </a:p>
      </cx:txPr>
    </cx:title>
    <cx:plotArea>
      <cx:plotAreaRegion>
        <cx:series layoutId="waterfall" uniqueId="{00000000-6E04-4AD6-BE22-F5FCEC7F6F5A}">
          <cx:spPr>
            <a:solidFill>
              <a:srgbClr val="5DA35A"/>
            </a:solidFill>
          </cx:spPr>
          <cx:dataPt idx="1">
            <cx:spPr>
              <a:solidFill>
                <a:srgbClr val="4EA72E">
                  <a:lumMod val="60000"/>
                  <a:lumOff val="40000"/>
                </a:srgbClr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1E3D1E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AR" b="1">
                  <a:solidFill>
                    <a:srgbClr val="1E3D1E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0.5"/>
        <cx:tickLabels/>
        <cx:spPr>
          <a:ln>
            <a:noFill/>
          </a:ln>
        </cx:spPr>
      </cx:axis>
      <cx:axis id="1" hidden="1">
        <cx:valScaling/>
        <cx:tickLabels/>
      </cx:axis>
    </cx:plotArea>
  </cx:chart>
  <cx:spPr>
    <a:ln w="12700">
      <a:solidFill>
        <a:srgbClr val="A9D18E"/>
      </a:solidFill>
      <a:prstDash val="solid"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2.tmp"/><Relationship Id="rId6" Type="http://schemas.openxmlformats.org/officeDocument/2006/relationships/chart" Target="../charts/chart7.xml"/><Relationship Id="rId5" Type="http://schemas.microsoft.com/office/2014/relationships/chartEx" Target="../charts/chartEx2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4</xdr:row>
      <xdr:rowOff>0</xdr:rowOff>
    </xdr:from>
    <xdr:to>
      <xdr:col>4</xdr:col>
      <xdr:colOff>914400</xdr:colOff>
      <xdr:row>7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">
              <a:extLst>
                <a:ext uri="{FF2B5EF4-FFF2-40B4-BE49-F238E27FC236}">
                  <a16:creationId xmlns:a16="http://schemas.microsoft.com/office/drawing/2014/main" id="{A2D77E3C-CC91-498D-F199-C87B26D21A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0820" y="640080"/>
              <a:ext cx="2743200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228600</xdr:colOff>
      <xdr:row>13</xdr:row>
      <xdr:rowOff>0</xdr:rowOff>
    </xdr:from>
    <xdr:to>
      <xdr:col>12</xdr:col>
      <xdr:colOff>731520</xdr:colOff>
      <xdr:row>20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Zona">
              <a:extLst>
                <a:ext uri="{FF2B5EF4-FFF2-40B4-BE49-F238E27FC236}">
                  <a16:creationId xmlns:a16="http://schemas.microsoft.com/office/drawing/2014/main" id="{0755593D-2259-4C9D-1AE0-81BC273EE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5820" y="2286000"/>
              <a:ext cx="53187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228600</xdr:colOff>
      <xdr:row>13</xdr:row>
      <xdr:rowOff>0</xdr:rowOff>
    </xdr:from>
    <xdr:to>
      <xdr:col>4</xdr:col>
      <xdr:colOff>914400</xdr:colOff>
      <xdr:row>24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ipo de producto">
              <a:extLst>
                <a:ext uri="{FF2B5EF4-FFF2-40B4-BE49-F238E27FC236}">
                  <a16:creationId xmlns:a16="http://schemas.microsoft.com/office/drawing/2014/main" id="{74FEFB6E-8C33-5AED-9BCA-8E7405862F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0820" y="2286000"/>
              <a:ext cx="2743200" cy="2164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25400</xdr:colOff>
      <xdr:row>52</xdr:row>
      <xdr:rowOff>40640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4B74831-00BF-77DD-F340-535FBAD4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254000</xdr:colOff>
      <xdr:row>30</xdr:row>
      <xdr:rowOff>0</xdr:rowOff>
    </xdr:from>
    <xdr:to>
      <xdr:col>8</xdr:col>
      <xdr:colOff>165100</xdr:colOff>
      <xdr:row>52</xdr:row>
      <xdr:rowOff>40640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41ABA1E-E7A2-B520-5B0C-89E1D7613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393700</xdr:colOff>
      <xdr:row>30</xdr:row>
      <xdr:rowOff>0</xdr:rowOff>
    </xdr:from>
    <xdr:to>
      <xdr:col>14</xdr:col>
      <xdr:colOff>0</xdr:colOff>
      <xdr:row>52</xdr:row>
      <xdr:rowOff>40640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CD8311A-7C7D-7CFC-38AD-0AD79CCE4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absoluteAnchor>
    <xdr:pos x="5401310" y="25400"/>
    <xdr:ext cx="406400" cy="406400"/>
    <xdr:pic>
      <xdr:nvPicPr>
        <xdr:cNvPr id="13" name="Logo La Amalfitana">
          <a:extLst>
            <a:ext uri="{FF2B5EF4-FFF2-40B4-BE49-F238E27FC236}">
              <a16:creationId xmlns:a16="http://schemas.microsoft.com/office/drawing/2014/main" id="{A237414C-FCA5-7CD2-466B-B00B785F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01310" y="25400"/>
          <a:ext cx="406400" cy="406400"/>
        </a:xfrm>
        <a:prstGeom prst="rect">
          <a:avLst/>
        </a:prstGeom>
      </xdr:spPr>
    </xdr:pic>
    <xdr:clientData/>
  </xdr:absoluteAnchor>
  <xdr:twoCellAnchor>
    <xdr:from>
      <xdr:col>14</xdr:col>
      <xdr:colOff>205740</xdr:colOff>
      <xdr:row>30</xdr:row>
      <xdr:rowOff>45720</xdr:rowOff>
    </xdr:from>
    <xdr:to>
      <xdr:col>19</xdr:col>
      <xdr:colOff>604520</xdr:colOff>
      <xdr:row>52</xdr:row>
      <xdr:rowOff>86360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ascada Ganancia">
              <a:extLst>
                <a:ext uri="{FF2B5EF4-FFF2-40B4-BE49-F238E27FC236}">
                  <a16:creationId xmlns:a16="http://schemas.microsoft.com/office/drawing/2014/main" id="{F95F132E-18E9-548B-CF07-4B4452588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6540" y="5440680"/>
              <a:ext cx="5184140" cy="40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814070</xdr:colOff>
      <xdr:row>0</xdr:row>
      <xdr:rowOff>25400</xdr:rowOff>
    </xdr:from>
    <xdr:to>
      <xdr:col>5</xdr:col>
      <xdr:colOff>77470</xdr:colOff>
      <xdr:row>0</xdr:row>
      <xdr:rowOff>431800</xdr:rowOff>
    </xdr:to>
    <xdr:pic>
      <xdr:nvPicPr>
        <xdr:cNvPr id="2" name="Logo La Amalfitana">
          <a:extLst>
            <a:ext uri="{FF2B5EF4-FFF2-40B4-BE49-F238E27FC236}">
              <a16:creationId xmlns:a16="http://schemas.microsoft.com/office/drawing/2014/main" id="{323961FE-A339-7BB7-3343-C43CD9BE2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1310" y="254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7</xdr:row>
      <xdr:rowOff>22860</xdr:rowOff>
    </xdr:from>
    <xdr:to>
      <xdr:col>4</xdr:col>
      <xdr:colOff>213360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ño 1">
              <a:extLst>
                <a:ext uri="{FF2B5EF4-FFF2-40B4-BE49-F238E27FC236}">
                  <a16:creationId xmlns:a16="http://schemas.microsoft.com/office/drawing/2014/main" id="{AADD3DEA-9280-4AE2-91B5-7FC30DB56A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2049780"/>
              <a:ext cx="2743200" cy="64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152400</xdr:colOff>
      <xdr:row>18</xdr:row>
      <xdr:rowOff>45720</xdr:rowOff>
    </xdr:from>
    <xdr:to>
      <xdr:col>5</xdr:col>
      <xdr:colOff>459740</xdr:colOff>
      <xdr:row>40</xdr:row>
      <xdr:rowOff>86360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05712E0-9D1A-4BCF-960E-D411ABE01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1059180</xdr:colOff>
      <xdr:row>5</xdr:row>
      <xdr:rowOff>129540</xdr:rowOff>
    </xdr:from>
    <xdr:to>
      <xdr:col>8</xdr:col>
      <xdr:colOff>1135380</xdr:colOff>
      <xdr:row>17</xdr:row>
      <xdr:rowOff>99060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ipo de producto 1">
              <a:extLst>
                <a:ext uri="{FF2B5EF4-FFF2-40B4-BE49-F238E27FC236}">
                  <a16:creationId xmlns:a16="http://schemas.microsoft.com/office/drawing/2014/main" id="{17B909E9-9915-4357-AD4E-194CE684F5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0640" y="1790700"/>
              <a:ext cx="2743200" cy="2164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1074420</xdr:colOff>
      <xdr:row>18</xdr:row>
      <xdr:rowOff>91440</xdr:rowOff>
    </xdr:from>
    <xdr:to>
      <xdr:col>10</xdr:col>
      <xdr:colOff>482600</xdr:colOff>
      <xdr:row>40</xdr:row>
      <xdr:rowOff>132080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8A5674B-A8BD-46E1-ABB6-023A2CE37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662940</xdr:colOff>
      <xdr:row>6</xdr:row>
      <xdr:rowOff>53340</xdr:rowOff>
    </xdr:from>
    <xdr:to>
      <xdr:col>15</xdr:col>
      <xdr:colOff>266700</xdr:colOff>
      <xdr:row>13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Zona 1">
              <a:extLst>
                <a:ext uri="{FF2B5EF4-FFF2-40B4-BE49-F238E27FC236}">
                  <a16:creationId xmlns:a16="http://schemas.microsoft.com/office/drawing/2014/main" id="{14510663-6014-46E4-86DA-0EDB37E17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1897380"/>
              <a:ext cx="53187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19</xdr:row>
      <xdr:rowOff>0</xdr:rowOff>
    </xdr:from>
    <xdr:to>
      <xdr:col>17</xdr:col>
      <xdr:colOff>299720</xdr:colOff>
      <xdr:row>41</xdr:row>
      <xdr:rowOff>40640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05A4D74-7FEA-4975-ADAC-03777B851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24</xdr:col>
      <xdr:colOff>429260</xdr:colOff>
      <xdr:row>41</xdr:row>
      <xdr:rowOff>40640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ascada Ganancia">
              <a:extLst>
                <a:ext uri="{FF2B5EF4-FFF2-40B4-BE49-F238E27FC236}">
                  <a16:creationId xmlns:a16="http://schemas.microsoft.com/office/drawing/2014/main" id="{D9A06506-A12B-448C-BEE2-780963ABC5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63900" y="4221480"/>
              <a:ext cx="5184140" cy="40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53</xdr:row>
      <xdr:rowOff>0</xdr:rowOff>
    </xdr:from>
    <xdr:to>
      <xdr:col>14</xdr:col>
      <xdr:colOff>157480</xdr:colOff>
      <xdr:row>78</xdr:row>
      <xdr:rowOff>0</xdr:rowOff>
    </xdr:to>
    <xdr:graphicFrame macro="">
      <xdr:nvGraphicFramePr>
        <xdr:cNvPr id="21" name="Ganancia vs Margen">
          <a:extLst>
            <a:ext uri="{FF2B5EF4-FFF2-40B4-BE49-F238E27FC236}">
              <a16:creationId xmlns:a16="http://schemas.microsoft.com/office/drawing/2014/main" id="{B1892B4C-5112-D697-D3E2-28C4068C4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s!" refreshedDate="46323.777732291666" createdVersion="8" refreshedVersion="8" minRefreshableVersion="3" recordCount="0" supportSubquery="1" supportAdvancedDrill="1" xr:uid="{E47B4C2C-CB9B-4A07-9548-F10F1C6006F4}">
  <cacheSource type="external" connectionId="5"/>
  <cacheFields count="2">
    <cacheField name="[Dim_Clientes].[Zona].[Zona]" caption="Zona" numFmtId="0" hierarchy="9" level="1">
      <sharedItems count="6">
        <s v="África"/>
        <s v="Asia"/>
        <s v="Australia y Oceanía"/>
        <s v="Centroamérica y Caribe"/>
        <s v="Europa"/>
        <s v="Norteamérica"/>
      </sharedItems>
    </cacheField>
    <cacheField name="[Measures].[Total Venta]" caption="Total Venta" numFmtId="0" hierarchy="25" level="32767"/>
  </cacheFields>
  <cacheHierarchies count="34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>
      <fieldsUsage count="2">
        <fieldUsage x="-1"/>
        <fieldUsage x="0"/>
      </fieldsUsage>
    </cacheHierarchy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 oneField="1">
      <fieldsUsage count="1">
        <fieldUsage x="1"/>
      </fieldsUsage>
    </cacheHierarchy>
    <cacheHierarchy uniqueName="[Measures].[Coste Total]" caption="Coste Total" measure="1" displayFolder="" measureGroup="Hechos" count="0"/>
    <cacheHierarchy uniqueName="[Measures].[Ganancia]" caption="Ganancia" measure="1" displayFolder="" measureGroup="Hechos" count="0"/>
    <cacheHierarchy uniqueName="[Measures].[Margen de Ventas]" caption="Margen d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s!" refreshedDate="46323.777733101851" createdVersion="8" refreshedVersion="8" minRefreshableVersion="3" recordCount="0" supportSubquery="1" supportAdvancedDrill="1" xr:uid="{B9283864-B34D-4DC7-9028-B87BD2137449}">
  <cacheSource type="external" connectionId="5"/>
  <cacheFields count="4">
    <cacheField name="[Dim_Clientes].[Zona].[Zona]" caption="Zona" numFmtId="0" hierarchy="9" level="1">
      <sharedItems count="6">
        <s v="África"/>
        <s v="Asia"/>
        <s v="Australia y Oceanía"/>
        <s v="Centroamérica y Caribe"/>
        <s v="Europa"/>
        <s v="Norteamérica"/>
      </sharedItems>
    </cacheField>
    <cacheField name="[Measures].[Total Venta]" caption="Total Venta" numFmtId="0" hierarchy="25" level="32767"/>
    <cacheField name="[Measures].[Coste Total]" caption="Coste Total" numFmtId="0" hierarchy="26" level="32767"/>
    <cacheField name="[Measures].[Margen de Ventas]" caption="Margen de Ventas" numFmtId="0" hierarchy="28" level="32767"/>
  </cacheFields>
  <cacheHierarchies count="34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>
      <fieldsUsage count="2">
        <fieldUsage x="-1"/>
        <fieldUsage x="0"/>
      </fieldsUsage>
    </cacheHierarchy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 oneField="1">
      <fieldsUsage count="1">
        <fieldUsage x="1"/>
      </fieldsUsage>
    </cacheHierarchy>
    <cacheHierarchy uniqueName="[Measures].[Coste Total]" caption="Coste Total" measure="1" displayFolder="" measureGroup="Hechos" count="0" oneField="1">
      <fieldsUsage count="1">
        <fieldUsage x="2"/>
      </fieldsUsage>
    </cacheHierarchy>
    <cacheHierarchy uniqueName="[Measures].[Ganancia]" caption="Ganancia" measure="1" displayFolder="" measureGroup="Hechos" count="0"/>
    <cacheHierarchy uniqueName="[Measures].[Margen de Ventas]" caption="Margen de Ventas" measure="1" displayFolder="" measureGroup="Hechos" count="0" oneField="1">
      <fieldsUsage count="1">
        <fieldUsage x="3"/>
      </fieldsUsage>
    </cacheHierarchy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s!" refreshedDate="46323.77773425926" createdVersion="8" refreshedVersion="8" minRefreshableVersion="3" recordCount="0" supportSubquery="1" supportAdvancedDrill="1" xr:uid="{BE7EB8E1-A0FC-42E8-BA3C-6ACEFD3623B2}">
  <cacheSource type="external" connectionId="5"/>
  <cacheFields count="3">
    <cacheField name="[Dim_Productos].[Tipo de producto].[Tipo de producto]" caption="Tipo de producto" numFmtId="0" hierarchy="12" level="1">
      <sharedItems count="12">
        <s v="Alimento infantil"/>
        <s v="Bebida"/>
        <s v="Cárnicos"/>
        <s v="Cereales"/>
        <s v="Cosméticos"/>
        <s v="Cuidado personal"/>
        <s v="Doméstico"/>
        <s v="Frutas"/>
        <s v="Material de oficina"/>
        <s v="Ropa"/>
        <s v="Snacks"/>
        <s v="Verduras"/>
      </sharedItems>
    </cacheField>
    <cacheField name="[Measures].[Margen de Ventas]" caption="Margen de Ventas" numFmtId="0" hierarchy="28" level="32767"/>
    <cacheField name="[Dim_Clientes].[Zona].[Zona]" caption="Zona" numFmtId="0" hierarchy="9" level="1">
      <sharedItems containsSemiMixedTypes="0" containsNonDate="0" containsString="0"/>
    </cacheField>
  </cacheFields>
  <cacheHierarchies count="34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>
      <fieldsUsage count="2">
        <fieldUsage x="-1"/>
        <fieldUsage x="2"/>
      </fieldsUsage>
    </cacheHierarchy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>
      <fieldsUsage count="2">
        <fieldUsage x="-1"/>
        <fieldUsage x="0"/>
      </fieldsUsage>
    </cacheHierarchy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]" caption="Ganancia" measure="1" displayFolder="" measureGroup="Hechos" count="0"/>
    <cacheHierarchy uniqueName="[Measures].[Margen de Ventas]" caption="Margen de Ventas" measure="1" displayFolder="" measureGroup="Hechos" count="0" oneField="1">
      <fieldsUsage count="1">
        <fieldUsage x="1"/>
      </fieldsUsage>
    </cacheHierarchy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s!" refreshedDate="46323.777735069445" createdVersion="8" refreshedVersion="8" minRefreshableVersion="3" recordCount="0" supportSubquery="1" supportAdvancedDrill="1" xr:uid="{18BEFDC2-6B08-48B2-A377-9BD18792EF53}">
  <cacheSource type="external" connectionId="5"/>
  <cacheFields count="3">
    <cacheField name="[Measures].[Total Venta]" caption="Total Venta" numFmtId="0" hierarchy="25" level="32767"/>
    <cacheField name="[Calendario].[Año].[Año]" caption="Año" numFmtId="0" hierarchy="1" level="1">
      <sharedItems containsSemiMixedTypes="0" containsString="0" containsNumber="1" containsInteger="1" minValue="2020" maxValue="2022" count="3"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0]"/>
            <x15:cachedUniqueName index="1" name="[Calendario].[Año].&amp;[2021]"/>
            <x15:cachedUniqueName index="2" name="[Calendario].[Año].&amp;[2022]"/>
          </x15:cachedUniqueNames>
        </ext>
      </extLst>
    </cacheField>
    <cacheField name="[Dim_Clientes].[Zona].[Zona]" caption="Zona" numFmtId="0" hierarchy="9" level="1">
      <sharedItems containsSemiMixedTypes="0" containsNonDate="0" containsString="0"/>
    </cacheField>
  </cacheFields>
  <cacheHierarchies count="34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>
      <fieldsUsage count="2">
        <fieldUsage x="-1"/>
        <fieldUsage x="2"/>
      </fieldsUsage>
    </cacheHierarchy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 oneField="1">
      <fieldsUsage count="1">
        <fieldUsage x="0"/>
      </fieldsUsage>
    </cacheHierarchy>
    <cacheHierarchy uniqueName="[Measures].[Coste Total]" caption="Coste Total" measure="1" displayFolder="" measureGroup="Hechos" count="0"/>
    <cacheHierarchy uniqueName="[Measures].[Ganancia]" caption="Ganancia" measure="1" displayFolder="" measureGroup="Hechos" count="0"/>
    <cacheHierarchy uniqueName="[Measures].[Margen de Ventas]" caption="Margen d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s!" refreshedDate="46323.641215625001" createdVersion="3" refreshedVersion="8" minRefreshableVersion="3" recordCount="0" supportSubquery="1" supportAdvancedDrill="1" xr:uid="{8B058E97-3186-408D-86C9-B8C8BB4616C8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]" caption="Ganancia" measure="1" displayFolder="" measureGroup="Hechos" count="0"/>
    <cacheHierarchy uniqueName="[Measures].[Margen de Ventas]" caption="Margen d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607518594"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A59A5-3E17-434E-8C6C-ABDD934CC15D}" name="Ventas por Zona" cacheId="744" applyNumberFormats="0" applyBorderFormats="0" applyFontFormats="0" applyPatternFormats="0" applyAlignmentFormats="0" applyWidthHeightFormats="1" dataCaption="Valores" tag="4417f614-83c3-4264-91d9-9f83a2ceb6d7" updatedVersion="8" minRefreshableVersion="3" useAutoFormatting="1" itemPrintTitles="1" createdVersion="8" indent="0" outline="1" outlineData="1" multipleFieldFilters="0" chartFormat="4" rowHeaderCaption="Región">
  <location ref="F16:G23" firstHeaderRow="1" firstDataRow="1" firstDataCol="1"/>
  <pivotFields count="2">
    <pivotField axis="axisRow" allDrilled="1" subtotalTop="0" showAll="0" sortType="de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4"/>
    </i>
    <i>
      <x v="1"/>
    </i>
    <i>
      <x v="3"/>
    </i>
    <i>
      <x v="2"/>
    </i>
    <i>
      <x v="5"/>
    </i>
    <i t="grand">
      <x/>
    </i>
  </rowItems>
  <colItems count="1">
    <i/>
  </colItems>
  <dataFields count="1">
    <dataField fld="1" subtotal="count" baseField="0" baseItem="0"/>
  </dataFields>
  <formats count="3"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grandRow="1" axis="axisRow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4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C4EFD-12D4-4CA1-8DDE-AC7C87B97D46}" name="Margen por Producto" cacheId="746" applyNumberFormats="0" applyBorderFormats="0" applyFontFormats="0" applyPatternFormats="0" applyAlignmentFormats="0" applyWidthHeightFormats="1" dataCaption="Valores" tag="529c880c-f3c0-45e5-807f-0c71a0182d63" updatedVersion="8" minRefreshableVersion="3" useAutoFormatting="1" subtotalHiddenItems="1" itemPrintTitles="1" createdVersion="8" indent="0" outline="1" outlineData="1" multipleFieldFilters="0" chartFormat="12" rowHeaderCaption="Producto">
  <location ref="A16:B29" firstHeaderRow="1" firstDataRow="1" firstDataCol="1"/>
  <pivotFields count="3">
    <pivotField axis="axisRow" allDrilled="1" subtotalTop="0" showAll="0" sortType="ascending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 v="2"/>
    </i>
    <i>
      <x v="8"/>
    </i>
    <i>
      <x v="6"/>
    </i>
    <i>
      <x v="7"/>
    </i>
    <i>
      <x v="5"/>
    </i>
    <i>
      <x v="1"/>
    </i>
    <i>
      <x v="10"/>
    </i>
    <i>
      <x/>
    </i>
    <i>
      <x v="4"/>
    </i>
    <i>
      <x v="11"/>
    </i>
    <i>
      <x v="3"/>
    </i>
    <i>
      <x v="9"/>
    </i>
    <i t="grand">
      <x/>
    </i>
  </rowItems>
  <colItems count="1">
    <i/>
  </colItems>
  <dataFields count="1">
    <dataField fld="1" subtotal="count" baseField="0" baseItem="0"/>
  </dataFields>
  <formats count="3"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grandRow="1" axis="axisRow" fieldPosition="0"/>
    </format>
  </formats>
  <chartFormats count="2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34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s]"/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FDB81-1D84-459B-AC16-BE6036F1B54B}" name="Resumen General" cacheId="745" applyNumberFormats="0" applyBorderFormats="0" applyFontFormats="0" applyPatternFormats="0" applyAlignmentFormats="0" applyWidthHeightFormats="1" dataCaption="Valores" tag="0b35ea71-a713-4e4d-9d94-52976b63969d" updatedVersion="8" minRefreshableVersion="3" useAutoFormatting="1" itemPrintTitles="1" createdVersion="8" indent="0" outline="1" outlineData="1" multipleFieldFilters="0" chartFormat="1" rowHeaderCaption="Región">
  <location ref="J7:L8" firstHeaderRow="0" firstDataRow="1" firstDataCol="0"/>
  <pivotFields count="4">
    <pivotField allDrilled="1" subtotalTop="0" showAll="0" sortType="descending" dataSourceSort="1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4">
    <format dxfId="31">
      <pivotArea field="0" type="button" dataOnly="0" labelOnly="1" outline="0"/>
    </format>
    <format dxfId="30">
      <pivotArea dataOnly="0" labelOnly="1" outline="0" axis="axisValues" fieldPosition="0"/>
    </format>
    <format dxfId="29">
      <pivotArea dataOnly="0" grandRow="1" axis="axisRow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FD0B9-55B7-42BF-AD92-1C4B62EC55C7}" name="Ventas Anuales" cacheId="747" applyNumberFormats="0" applyBorderFormats="0" applyFontFormats="0" applyPatternFormats="0" applyAlignmentFormats="0" applyWidthHeightFormats="1" dataCaption="Valores" grandTotalCaption="Total Ventas" tag="86f81c2d-b128-4deb-a7a0-0c152f149398" updatedVersion="8" minRefreshableVersion="3" useAutoFormatting="1" subtotalHiddenItems="1" itemPrintTitles="1" createdVersion="8" indent="0" outline="1" outlineData="1" multipleFieldFilters="0" chartFormat="14" rowHeaderCaption="Año" colHeaderCaption="Año">
  <location ref="A7:B1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Importe" fld="0" subtotal="count" baseField="0" baseItem="0"/>
  </dataFields>
  <formats count="12">
    <format dxfId="43">
      <pivotArea type="origin" dataOnly="0" labelOnly="1" outline="0" offset="A1" fieldPosition="0"/>
    </format>
    <format dxfId="42">
      <pivotArea type="topRight" dataOnly="0" labelOnly="1" outline="0" fieldPosition="0"/>
    </format>
    <format dxfId="41">
      <pivotArea type="origin" dataOnly="0" labelOnly="1" outline="0" offset="A2" fieldPosition="0"/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offset="A1" fieldPosition="0"/>
    </format>
    <format dxfId="36">
      <pivotArea dataOnly="0" labelOnly="1" outline="0" axis="axisValues" fieldPosition="0"/>
    </format>
    <format dxfId="35">
      <pivotArea type="topRight" dataOnly="0" labelOnly="1" outline="0" fieldPosition="0"/>
    </format>
    <format dxfId="34">
      <pivotArea type="origin" dataOnly="0" labelOnly="1" outline="0" offset="A2" fieldPosition="0"/>
    </format>
    <format dxfId="33">
      <pivotArea dataOnly="0" labelOnly="1" grandCol="1" outline="0" fieldPosition="0"/>
    </format>
    <format dxfId="32">
      <pivotArea dataOnly="0" fieldPosition="0">
        <references count="1">
          <reference field="1" count="0"/>
        </references>
      </pivotArea>
    </format>
  </formats>
  <chartFormats count="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Impor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39F5FE6-D3BE-45CF-AFA7-97FB3CCB501A}" autoFormatId="16" applyNumberFormats="0" applyBorderFormats="0" applyFontFormats="0" applyPatternFormats="0" applyAlignmentFormats="0" applyWidthHeightFormats="0">
  <queryTableRefresh nextId="12">
    <queryTableFields count="11">
      <queryTableField id="1" name="ID Cliente" tableColumnId="1"/>
      <queryTableField id="2" name="ID PRODUCTO" tableColumnId="2"/>
      <queryTableField id="3" name="Prioridad" tableColumnId="3"/>
      <queryTableField id="4" name="Fecha pedido" tableColumnId="4"/>
      <queryTableField id="5" name="ID Pedido" tableColumnId="5"/>
      <queryTableField id="6" name="Fecha envío" tableColumnId="6"/>
      <queryTableField id="7" name="Unidades" tableColumnId="7"/>
      <queryTableField id="8" name="Precio Unitario" tableColumnId="8"/>
      <queryTableField id="9" name="Coste unitario" tableColumnId="9"/>
      <queryTableField id="10" name="Importe venta total" tableColumnId="10"/>
      <queryTableField id="11" name="Importe Coste tota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D0A99630-D8E1-4BF7-A718-DEF9EFFADCF8}" autoFormatId="16" applyNumberFormats="0" applyBorderFormats="0" applyFontFormats="0" applyPatternFormats="0" applyAlignmentFormats="0" applyWidthHeightFormats="0">
  <queryTableRefresh nextId="4">
    <queryTableFields count="3">
      <queryTableField id="1" name="ID Cliente" tableColumnId="1"/>
      <queryTableField id="2" name="Zona" tableColumnId="2"/>
      <queryTableField id="3" name="Paí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31AF59D7-E2DC-4F55-8C02-637BA318E586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Tipo de producto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Zona" xr10:uid="{E06AA8D3-1E4A-40B4-9EA9-8ACA31D2C052}" sourceName="[Dim_Clientes].[Zona]">
  <pivotTables>
    <pivotTable tabId="10" name="Ventas por Zona"/>
    <pivotTable tabId="10" name="Resumen General"/>
    <pivotTable tabId="10" name="Margen por Producto"/>
    <pivotTable tabId="10" name="Ventas Anuales"/>
  </pivotTables>
  <data>
    <olap pivotCacheId="607518594">
      <levels count="2">
        <level uniqueName="[Dim_Clientes].[Zona].[(All)]" sourceCaption="(All)" count="0"/>
        <level uniqueName="[Dim_Clientes].[Zona].[Zona]" sourceCaption="Zona" count="6">
          <ranges>
            <range startItem="0">
              <i n="[Dim_Clientes].[Zona].&amp;[África]" c="África"/>
              <i n="[Dim_Clientes].[Zona].&amp;[Asia]" c="Asia"/>
              <i n="[Dim_Clientes].[Zona].&amp;[Australia y Oceanía]" c="Australia y Oceanía"/>
              <i n="[Dim_Clientes].[Zona].&amp;[Centroamérica y Caribe]" c="Centroamérica y Caribe"/>
              <i n="[Dim_Clientes].[Zona].&amp;[Europa]" c="Europa"/>
              <i n="[Dim_Clientes].[Zona].&amp;[Norteamérica]" c="Norteamérica"/>
            </range>
          </ranges>
        </level>
      </levels>
      <selections count="1">
        <selection n="[Dim_Clientes].[Zon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_Clientes].[Zona].[Zona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producto" xr10:uid="{9E756DBA-F123-42E3-96E7-DCBC5AD610B3}" sourceName="[Dim_Productos].[Tipo de producto]">
  <pivotTables>
    <pivotTable tabId="10" name="Margen por Producto"/>
    <pivotTable tabId="10" name="Resumen General"/>
    <pivotTable tabId="10" name="Ventas Anuales"/>
    <pivotTable tabId="10" name="Ventas por Zona"/>
  </pivotTables>
  <data>
    <olap pivotCacheId="607518594">
      <levels count="2">
        <level uniqueName="[Dim_Productos].[Tipo de producto].[(All)]" sourceCaption="(All)" count="0"/>
        <level uniqueName="[Dim_Productos].[Tipo de producto].[Tipo de producto]" sourceCaption="Tipo de producto" count="12">
          <ranges>
            <range startItem="0">
              <i n="[Dim_Productos].[Tipo de producto].&amp;[Alimento infantil]" c="Alimento infantil"/>
              <i n="[Dim_Productos].[Tipo de producto].&amp;[Bebida]" c="Bebida"/>
              <i n="[Dim_Productos].[Tipo de producto].&amp;[Cárnicos]" c="Cárnicos"/>
              <i n="[Dim_Productos].[Tipo de producto].&amp;[Cereales]" c="Cereales"/>
              <i n="[Dim_Productos].[Tipo de producto].&amp;[Cosméticos]" c="Cosméticos"/>
              <i n="[Dim_Productos].[Tipo de producto].&amp;[Cuidado personal]" c="Cuidado personal"/>
              <i n="[Dim_Productos].[Tipo de producto].&amp;[Doméstico]" c="Doméstico"/>
              <i n="[Dim_Productos].[Tipo de producto].&amp;[Frutas]" c="Frutas"/>
              <i n="[Dim_Productos].[Tipo de producto].&amp;[Material de oficina]" c="Material de oficina"/>
              <i n="[Dim_Productos].[Tipo de producto].&amp;[Ropa]" c="Ropa"/>
              <i n="[Dim_Productos].[Tipo de producto].&amp;[Snacks]" c="Snacks"/>
              <i n="[Dim_Productos].[Tipo de producto].&amp;[Verduras]" c="Verduras"/>
            </range>
          </ranges>
        </level>
      </levels>
      <selections count="1">
        <selection n="[Dim_Productos].[Tipo de produc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erarquía_de_fechas" xr10:uid="{F26F31DC-A7D8-4182-989B-48AD48544491}" sourceName="[Calendario].[Jerarquía de fechas]">
  <pivotTables>
    <pivotTable tabId="10" name="Ventas Anuales"/>
    <pivotTable tabId="10" name="Margen por Producto"/>
    <pivotTable tabId="10" name="Resumen General"/>
    <pivotTable tabId="10" name="Ventas por Zona"/>
  </pivotTables>
  <data>
    <olap pivotCacheId="607518594">
      <levels count="4">
        <level uniqueName="[Calendario].[Jerarquía de fechas].[(All)]" sourceCaption="(All)" count="0"/>
        <level uniqueName="[Calendario].[Jerarquía de fechas].[Año]" sourceCaption="Año" count="3">
          <ranges>
            <range startItem="0">
              <i n="[Calendario].[Jerarquía de fechas].[Año].&amp;[2020]" c="2020"/>
              <i n="[Calendario].[Jerarquía de fechas].[Año].&amp;[2021]" c="2021"/>
              <i n="[Calendario].[Jerarquía de fechas].[Año].&amp;[2022]" c="2022"/>
            </range>
          </ranges>
        </level>
        <level uniqueName="[Calendario].[Jerarquía de fechas].[Mes]" sourceCaption="Mes" count="0"/>
        <level uniqueName="[Calendario].[Jerarquía de fechas].[DateColumn]" sourceCaption="DateColumn" count="0"/>
      </levels>
      <selections count="1">
        <selection n="[Calendario].[Jerarquía de fecha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io].[Jerarquía de fechas].[Año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ona" xr10:uid="{200E9037-EB84-4937-AFA8-8711395F3C20}" cache="SegmentaciónDeDatos_Zona" caption="Zona" columnCount="2" level="1" style="SlicerStyleDark6" rowHeight="247650"/>
  <slicer name="Tipo de producto" xr10:uid="{C4CBBFD5-3F20-40E3-9B3C-F0E265476388}" cache="SegmentaciónDeDatos_Tipo_de_producto" caption="Tipo de producto" columnCount="2" level="1" style="SlicerStyleDark6" rowHeight="247650"/>
  <slicer name="Año" xr10:uid="{805CA9C9-2F08-4D58-9B87-EF678CEF4FD6}" cache="SegmentaciónDeDatos_Jerarquía_de_fechas" caption="Año" columnCount="3" level="1" style="SlicerStyleDark6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ona 1" xr10:uid="{D4EABB5F-5970-468D-B638-AD15F2EA6599}" cache="SegmentaciónDeDatos_Zona" caption="Zona" columnCount="2" level="1" style="SlicerStyleDark6" rowHeight="247650"/>
  <slicer name="Tipo de producto 1" xr10:uid="{513BDC8B-6BFE-429F-8F92-E72D91D3672D}" cache="SegmentaciónDeDatos_Tipo_de_producto" caption="Tipo de producto" columnCount="2" level="1" style="SlicerStyleDark6" rowHeight="247650"/>
  <slicer name="Año 1" xr10:uid="{CA35DD79-A6AC-4916-90AA-C3F77D16FC6C}" cache="SegmentaciónDeDatos_Jerarquía_de_fechas" caption="Año" columnCount="3" level="1" style="SlicerStyleDark6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87EDC-CB5B-41FE-A933-DB8FC0331FA9}" name="Hechos" displayName="Hechos" ref="A1:K1001" tableType="queryTable" totalsRowShown="0">
  <autoFilter ref="A1:K1001" xr:uid="{93187EDC-CB5B-41FE-A933-DB8FC0331FA9}"/>
  <tableColumns count="11">
    <tableColumn id="1" xr3:uid="{6B46AEA2-6D73-4552-B3ED-B7F9E8BB110C}" uniqueName="1" name="ID Cliente" queryTableFieldId="1" dataDxfId="59"/>
    <tableColumn id="2" xr3:uid="{152BFEB5-068D-405D-8A26-E3CC928CFA33}" uniqueName="2" name="ID PRODUCTO" queryTableFieldId="2" dataDxfId="58"/>
    <tableColumn id="3" xr3:uid="{04C4E032-DCE8-4261-8128-37CA5C295AA9}" uniqueName="3" name="Prioridad" queryTableFieldId="3" dataDxfId="57"/>
    <tableColumn id="4" xr3:uid="{3791BD7F-2350-4042-A92E-9E2A151E8A3D}" uniqueName="4" name="Fecha pedido" queryTableFieldId="4" dataDxfId="56"/>
    <tableColumn id="5" xr3:uid="{2FDC6438-BD2E-4B72-884D-381AF9F11C2A}" uniqueName="5" name="ID Pedido" queryTableFieldId="5" dataDxfId="55"/>
    <tableColumn id="6" xr3:uid="{3291B54E-8757-4852-8400-D17FF205F089}" uniqueName="6" name="Fecha envío" queryTableFieldId="6" dataDxfId="54"/>
    <tableColumn id="7" xr3:uid="{9FF5936C-2CAF-447B-BE4F-03830BEDD7A8}" uniqueName="7" name="Unidades" queryTableFieldId="7" dataDxfId="53"/>
    <tableColumn id="8" xr3:uid="{76369E4D-C910-44CE-9637-9B7B624CE3D9}" uniqueName="8" name="Precio Unitario" queryTableFieldId="8" dataDxfId="52"/>
    <tableColumn id="9" xr3:uid="{47EC7C54-E0DC-424F-BE91-79B02F4B8781}" uniqueName="9" name="Coste unitario" queryTableFieldId="9" dataDxfId="51"/>
    <tableColumn id="10" xr3:uid="{9AC2B4CD-4907-49D2-B990-0B32F55687C0}" uniqueName="10" name="Importe venta total" queryTableFieldId="10" dataDxfId="50"/>
    <tableColumn id="11" xr3:uid="{B0740118-B2E7-4BF5-A738-3330D8C7770E}" uniqueName="11" name="Importe Coste total" queryTableFieldId="11" dataDxf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28C2FF-1EF1-4C08-87AA-7F66639B76A6}" name="Dim_Clientes" displayName="Dim_Clientes" ref="A1:C952" tableType="queryTable" totalsRowShown="0">
  <autoFilter ref="A1:C952" xr:uid="{6D28C2FF-1EF1-4C08-87AA-7F66639B76A6}"/>
  <sortState xmlns:xlrd2="http://schemas.microsoft.com/office/spreadsheetml/2017/richdata2" ref="A2:C952">
    <sortCondition ref="A1:A952"/>
  </sortState>
  <tableColumns count="3">
    <tableColumn id="1" xr3:uid="{ED2B055D-A4C7-4D27-914E-B6124E84BD13}" uniqueName="1" name="ID Cliente" queryTableFieldId="1" dataDxfId="48"/>
    <tableColumn id="2" xr3:uid="{078DAEDE-2A30-4E20-8FAC-A7F66DB84200}" uniqueName="2" name="Zona" queryTableFieldId="2" dataDxfId="47"/>
    <tableColumn id="3" xr3:uid="{C0683F7E-5649-42B6-AA61-9D6F7546DB3E}" uniqueName="3" name="País" queryTableFieldId="3" dataDxf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42588D-4479-4CCB-8D70-35EA6EE45328}" name="Dim_Productos" displayName="Dim_Productos" ref="A1:B13" tableType="queryTable" totalsRowShown="0">
  <autoFilter ref="A1:B13" xr:uid="{E942588D-4479-4CCB-8D70-35EA6EE45328}"/>
  <tableColumns count="2">
    <tableColumn id="1" xr3:uid="{D592A6B0-83A9-4CF5-BBD2-F09668DD6778}" uniqueName="1" name="ID" queryTableFieldId="1" dataDxfId="45"/>
    <tableColumn id="2" xr3:uid="{4F5EAD7F-C92F-4FE0-BFD8-57C5A79A731C}" uniqueName="2" name="Tipo de producto" queryTableFieldId="2" dataDxf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8D1C97-5E41-461E-B696-76CD457D290C}">
  <we:reference id="wa200006007" version="1.3.0.0" store="es-ES" storeType="OMEX"/>
  <we:alternateReferences>
    <we:reference id="WA200006007" version="1.3.0.0" store="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CD461B6-3193-436A-AF79-D37BA506963D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306623eb-6892-4ecd-a0ab-9e074e2c1e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2460-A651-45F6-8E16-43FA95E57A32}">
  <dimension ref="A1:K1001"/>
  <sheetViews>
    <sheetView workbookViewId="0">
      <selection activeCell="G29" sqref="G29"/>
    </sheetView>
  </sheetViews>
  <sheetFormatPr baseColWidth="10" defaultRowHeight="14.4" x14ac:dyDescent="0.3"/>
  <cols>
    <col min="1" max="1" width="11.33203125" style="4" bestFit="1" customWidth="1"/>
    <col min="2" max="2" width="14.77734375" style="4" bestFit="1" customWidth="1"/>
    <col min="3" max="3" width="11" style="4" bestFit="1" customWidth="1"/>
    <col min="4" max="4" width="14.44140625" style="1" bestFit="1" customWidth="1"/>
    <col min="5" max="5" width="11.21875" style="4" bestFit="1" customWidth="1"/>
    <col min="6" max="6" width="13" style="1" bestFit="1" customWidth="1"/>
    <col min="7" max="7" width="11.109375" style="3" bestFit="1" customWidth="1"/>
    <col min="8" max="8" width="15.5546875" style="2" bestFit="1" customWidth="1"/>
    <col min="9" max="9" width="14.77734375" style="2" bestFit="1" customWidth="1"/>
    <col min="10" max="10" width="19.109375" style="2" bestFit="1" customWidth="1"/>
    <col min="11" max="11" width="19.33203125" style="2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4" t="s">
        <v>11</v>
      </c>
      <c r="B2" s="4" t="s">
        <v>1160</v>
      </c>
      <c r="C2" s="4" t="s">
        <v>12</v>
      </c>
      <c r="D2" s="1">
        <v>44116</v>
      </c>
      <c r="E2" s="4">
        <v>242113196</v>
      </c>
      <c r="F2" s="1">
        <v>44165</v>
      </c>
      <c r="G2" s="3">
        <v>5530</v>
      </c>
      <c r="H2" s="2">
        <v>152.58000000000001</v>
      </c>
      <c r="I2" s="2">
        <v>97.44</v>
      </c>
      <c r="J2" s="2">
        <v>843767.4</v>
      </c>
      <c r="K2" s="2">
        <v>538843.19999999995</v>
      </c>
    </row>
    <row r="3" spans="1:11" x14ac:dyDescent="0.3">
      <c r="A3" s="4" t="s">
        <v>13</v>
      </c>
      <c r="B3" s="4" t="s">
        <v>1162</v>
      </c>
      <c r="C3" s="4" t="s">
        <v>14</v>
      </c>
      <c r="D3" s="1">
        <v>43856</v>
      </c>
      <c r="E3" s="4">
        <v>190800607</v>
      </c>
      <c r="F3" s="1">
        <v>43858</v>
      </c>
      <c r="G3" s="3">
        <v>994</v>
      </c>
      <c r="H3" s="2">
        <v>421.89</v>
      </c>
      <c r="I3" s="2">
        <v>364.69</v>
      </c>
      <c r="J3" s="2">
        <v>419358.66</v>
      </c>
      <c r="K3" s="2">
        <v>362501.86</v>
      </c>
    </row>
    <row r="4" spans="1:11" x14ac:dyDescent="0.3">
      <c r="A4" s="4" t="s">
        <v>15</v>
      </c>
      <c r="B4" s="4" t="s">
        <v>1164</v>
      </c>
      <c r="C4" s="4" t="s">
        <v>12</v>
      </c>
      <c r="D4" s="1">
        <v>44144</v>
      </c>
      <c r="E4" s="4">
        <v>765228068</v>
      </c>
      <c r="F4" s="1">
        <v>44156</v>
      </c>
      <c r="G4" s="3">
        <v>6845</v>
      </c>
      <c r="H4" s="2">
        <v>205.7</v>
      </c>
      <c r="I4" s="2">
        <v>117.11</v>
      </c>
      <c r="J4" s="2">
        <v>1408016.5</v>
      </c>
      <c r="K4" s="2">
        <v>801617.95</v>
      </c>
    </row>
    <row r="5" spans="1:11" x14ac:dyDescent="0.3">
      <c r="A5" s="4" t="s">
        <v>16</v>
      </c>
      <c r="B5" s="4" t="s">
        <v>1166</v>
      </c>
      <c r="C5" s="4" t="s">
        <v>17</v>
      </c>
      <c r="D5" s="1">
        <v>44429</v>
      </c>
      <c r="E5" s="4">
        <v>232631909</v>
      </c>
      <c r="F5" s="1">
        <v>44471</v>
      </c>
      <c r="G5" s="3">
        <v>9806</v>
      </c>
      <c r="H5" s="2">
        <v>9.33</v>
      </c>
      <c r="I5" s="2">
        <v>6.92</v>
      </c>
      <c r="J5" s="2">
        <v>91489.98</v>
      </c>
      <c r="K5" s="2">
        <v>67857.52</v>
      </c>
    </row>
    <row r="6" spans="1:11" x14ac:dyDescent="0.3">
      <c r="A6" s="4" t="s">
        <v>18</v>
      </c>
      <c r="B6" s="4" t="s">
        <v>1168</v>
      </c>
      <c r="C6" s="4" t="s">
        <v>19</v>
      </c>
      <c r="D6" s="1">
        <v>44834</v>
      </c>
      <c r="E6" s="4">
        <v>530560958</v>
      </c>
      <c r="F6" s="1">
        <v>44877</v>
      </c>
      <c r="G6" s="3">
        <v>3633</v>
      </c>
      <c r="H6" s="2">
        <v>255.28</v>
      </c>
      <c r="I6" s="2">
        <v>159.41999999999999</v>
      </c>
      <c r="J6" s="2">
        <v>927432.24</v>
      </c>
      <c r="K6" s="2">
        <v>579172.86</v>
      </c>
    </row>
    <row r="7" spans="1:11" x14ac:dyDescent="0.3">
      <c r="A7" s="4" t="s">
        <v>20</v>
      </c>
      <c r="B7" s="4" t="s">
        <v>1170</v>
      </c>
      <c r="C7" s="4" t="s">
        <v>17</v>
      </c>
      <c r="D7" s="1">
        <v>44582</v>
      </c>
      <c r="E7" s="4">
        <v>516876542</v>
      </c>
      <c r="F7" s="1">
        <v>44613</v>
      </c>
      <c r="G7" s="3">
        <v>4110</v>
      </c>
      <c r="H7" s="2">
        <v>47.45</v>
      </c>
      <c r="I7" s="2">
        <v>31.79</v>
      </c>
      <c r="J7" s="2">
        <v>195019.5</v>
      </c>
      <c r="K7" s="2">
        <v>130656.9</v>
      </c>
    </row>
    <row r="8" spans="1:11" x14ac:dyDescent="0.3">
      <c r="A8" s="4" t="s">
        <v>21</v>
      </c>
      <c r="B8" s="4" t="s">
        <v>1160</v>
      </c>
      <c r="C8" s="4" t="s">
        <v>19</v>
      </c>
      <c r="D8" s="1">
        <v>44609</v>
      </c>
      <c r="E8" s="4">
        <v>919752490</v>
      </c>
      <c r="F8" s="1">
        <v>44619</v>
      </c>
      <c r="G8" s="3">
        <v>4056</v>
      </c>
      <c r="H8" s="2">
        <v>152.58000000000001</v>
      </c>
      <c r="I8" s="2">
        <v>97.44</v>
      </c>
      <c r="J8" s="2">
        <v>618864.4800000001</v>
      </c>
      <c r="K8" s="2">
        <v>395216.64000000001</v>
      </c>
    </row>
    <row r="9" spans="1:11" x14ac:dyDescent="0.3">
      <c r="A9" s="4" t="s">
        <v>22</v>
      </c>
      <c r="B9" s="4" t="s">
        <v>1172</v>
      </c>
      <c r="C9" s="4" t="s">
        <v>19</v>
      </c>
      <c r="D9" s="1">
        <v>43911</v>
      </c>
      <c r="E9" s="4">
        <v>287675130</v>
      </c>
      <c r="F9" s="1">
        <v>43958</v>
      </c>
      <c r="G9" s="3">
        <v>8319</v>
      </c>
      <c r="H9" s="2">
        <v>437.2</v>
      </c>
      <c r="I9" s="2">
        <v>263.33</v>
      </c>
      <c r="J9" s="2">
        <v>3637066.8</v>
      </c>
      <c r="K9" s="2">
        <v>2190642.27</v>
      </c>
    </row>
    <row r="10" spans="1:11" x14ac:dyDescent="0.3">
      <c r="A10" s="4" t="s">
        <v>23</v>
      </c>
      <c r="B10" s="4" t="s">
        <v>1174</v>
      </c>
      <c r="C10" s="4" t="s">
        <v>12</v>
      </c>
      <c r="D10" s="1">
        <v>44240</v>
      </c>
      <c r="E10" s="4">
        <v>839443290</v>
      </c>
      <c r="F10" s="1">
        <v>44287</v>
      </c>
      <c r="G10" s="3">
        <v>8779</v>
      </c>
      <c r="H10" s="2">
        <v>81.73</v>
      </c>
      <c r="I10" s="2">
        <v>56.67</v>
      </c>
      <c r="J10" s="2">
        <v>717507.67</v>
      </c>
      <c r="K10" s="2">
        <v>497505.93</v>
      </c>
    </row>
    <row r="11" spans="1:11" x14ac:dyDescent="0.3">
      <c r="A11" s="4" t="s">
        <v>24</v>
      </c>
      <c r="B11" s="4" t="s">
        <v>1176</v>
      </c>
      <c r="C11" s="4" t="s">
        <v>19</v>
      </c>
      <c r="D11" s="1">
        <v>44362</v>
      </c>
      <c r="E11" s="4">
        <v>814168298</v>
      </c>
      <c r="F11" s="1">
        <v>44389</v>
      </c>
      <c r="G11" s="3">
        <v>9347</v>
      </c>
      <c r="H11" s="2">
        <v>651.21</v>
      </c>
      <c r="I11" s="2">
        <v>524.96</v>
      </c>
      <c r="J11" s="2">
        <v>6086859.8700000001</v>
      </c>
      <c r="K11" s="2">
        <v>4906801.12</v>
      </c>
    </row>
    <row r="12" spans="1:11" x14ac:dyDescent="0.3">
      <c r="A12" s="4" t="s">
        <v>25</v>
      </c>
      <c r="B12" s="4" t="s">
        <v>1172</v>
      </c>
      <c r="C12" s="4" t="s">
        <v>14</v>
      </c>
      <c r="D12" s="1">
        <v>44757</v>
      </c>
      <c r="E12" s="4">
        <v>321273982</v>
      </c>
      <c r="F12" s="1">
        <v>44803</v>
      </c>
      <c r="G12" s="3">
        <v>966</v>
      </c>
      <c r="H12" s="2">
        <v>437.2</v>
      </c>
      <c r="I12" s="2">
        <v>263.33</v>
      </c>
      <c r="J12" s="2">
        <v>422335.2</v>
      </c>
      <c r="K12" s="2">
        <v>254376.78</v>
      </c>
    </row>
    <row r="13" spans="1:11" x14ac:dyDescent="0.3">
      <c r="A13" s="4" t="s">
        <v>26</v>
      </c>
      <c r="B13" s="4" t="s">
        <v>1160</v>
      </c>
      <c r="C13" s="4" t="s">
        <v>12</v>
      </c>
      <c r="D13" s="1">
        <v>43964</v>
      </c>
      <c r="E13" s="4">
        <v>890496671</v>
      </c>
      <c r="F13" s="1">
        <v>43987</v>
      </c>
      <c r="G13" s="3">
        <v>6609</v>
      </c>
      <c r="H13" s="2">
        <v>152.58000000000001</v>
      </c>
      <c r="I13" s="2">
        <v>97.44</v>
      </c>
      <c r="J13" s="2">
        <v>1008401.2200000001</v>
      </c>
      <c r="K13" s="2">
        <v>643980.96</v>
      </c>
    </row>
    <row r="14" spans="1:11" x14ac:dyDescent="0.3">
      <c r="A14" s="4" t="s">
        <v>27</v>
      </c>
      <c r="B14" s="4" t="s">
        <v>1170</v>
      </c>
      <c r="C14" s="4" t="s">
        <v>12</v>
      </c>
      <c r="D14" s="1">
        <v>44322</v>
      </c>
      <c r="E14" s="4">
        <v>521885192</v>
      </c>
      <c r="F14" s="1">
        <v>44338</v>
      </c>
      <c r="G14" s="3">
        <v>6281</v>
      </c>
      <c r="H14" s="2">
        <v>47.45</v>
      </c>
      <c r="I14" s="2">
        <v>31.79</v>
      </c>
      <c r="J14" s="2">
        <v>298033.45</v>
      </c>
      <c r="K14" s="2">
        <v>199672.99</v>
      </c>
    </row>
    <row r="15" spans="1:11" x14ac:dyDescent="0.3">
      <c r="A15" s="4" t="s">
        <v>28</v>
      </c>
      <c r="B15" s="4" t="s">
        <v>1178</v>
      </c>
      <c r="C15" s="4" t="s">
        <v>14</v>
      </c>
      <c r="D15" s="1">
        <v>44142</v>
      </c>
      <c r="E15" s="4">
        <v>435800874</v>
      </c>
      <c r="F15" s="1">
        <v>44190</v>
      </c>
      <c r="G15" s="3">
        <v>2018</v>
      </c>
      <c r="H15" s="2">
        <v>154.06</v>
      </c>
      <c r="I15" s="2">
        <v>90.93</v>
      </c>
      <c r="J15" s="2">
        <v>310893.08</v>
      </c>
      <c r="K15" s="2">
        <v>183496.74000000002</v>
      </c>
    </row>
    <row r="16" spans="1:11" x14ac:dyDescent="0.3">
      <c r="A16" s="4" t="s">
        <v>29</v>
      </c>
      <c r="B16" s="4" t="s">
        <v>1166</v>
      </c>
      <c r="C16" s="4" t="s">
        <v>12</v>
      </c>
      <c r="D16" s="1">
        <v>44489</v>
      </c>
      <c r="E16" s="4">
        <v>122917544</v>
      </c>
      <c r="F16" s="1">
        <v>44517</v>
      </c>
      <c r="G16" s="3">
        <v>2888</v>
      </c>
      <c r="H16" s="2">
        <v>9.33</v>
      </c>
      <c r="I16" s="2">
        <v>6.92</v>
      </c>
      <c r="J16" s="2">
        <v>26945.040000000001</v>
      </c>
      <c r="K16" s="2">
        <v>19984.96</v>
      </c>
    </row>
    <row r="17" spans="1:11" x14ac:dyDescent="0.3">
      <c r="A17" s="4" t="s">
        <v>30</v>
      </c>
      <c r="B17" s="4" t="s">
        <v>1174</v>
      </c>
      <c r="C17" s="4" t="s">
        <v>12</v>
      </c>
      <c r="D17" s="1">
        <v>44490</v>
      </c>
      <c r="E17" s="4">
        <v>494221532</v>
      </c>
      <c r="F17" s="1">
        <v>44518</v>
      </c>
      <c r="G17" s="3">
        <v>9989</v>
      </c>
      <c r="H17" s="2">
        <v>81.73</v>
      </c>
      <c r="I17" s="2">
        <v>56.67</v>
      </c>
      <c r="J17" s="2">
        <v>816400.97000000009</v>
      </c>
      <c r="K17" s="2">
        <v>566076.63</v>
      </c>
    </row>
    <row r="18" spans="1:11" x14ac:dyDescent="0.3">
      <c r="A18" s="4" t="s">
        <v>31</v>
      </c>
      <c r="B18" s="4" t="s">
        <v>1172</v>
      </c>
      <c r="C18" s="4" t="s">
        <v>12</v>
      </c>
      <c r="D18" s="1">
        <v>43940</v>
      </c>
      <c r="E18" s="4">
        <v>731011664</v>
      </c>
      <c r="F18" s="1">
        <v>43951</v>
      </c>
      <c r="G18" s="3">
        <v>1451</v>
      </c>
      <c r="H18" s="2">
        <v>437.2</v>
      </c>
      <c r="I18" s="2">
        <v>263.33</v>
      </c>
      <c r="J18" s="2">
        <v>634377.19999999995</v>
      </c>
      <c r="K18" s="2">
        <v>382091.82999999996</v>
      </c>
    </row>
    <row r="19" spans="1:11" x14ac:dyDescent="0.3">
      <c r="A19" s="4" t="s">
        <v>32</v>
      </c>
      <c r="B19" s="4" t="s">
        <v>1160</v>
      </c>
      <c r="C19" s="4" t="s">
        <v>12</v>
      </c>
      <c r="D19" s="1">
        <v>44868</v>
      </c>
      <c r="E19" s="4">
        <v>534899270</v>
      </c>
      <c r="F19" s="1">
        <v>44869</v>
      </c>
      <c r="G19" s="3">
        <v>7436</v>
      </c>
      <c r="H19" s="2">
        <v>152.58000000000001</v>
      </c>
      <c r="I19" s="2">
        <v>97.44</v>
      </c>
      <c r="J19" s="2">
        <v>1134584.8800000001</v>
      </c>
      <c r="K19" s="2">
        <v>724563.84</v>
      </c>
    </row>
    <row r="20" spans="1:11" x14ac:dyDescent="0.3">
      <c r="A20" s="4" t="s">
        <v>33</v>
      </c>
      <c r="B20" s="4" t="s">
        <v>1176</v>
      </c>
      <c r="C20" s="4" t="s">
        <v>14</v>
      </c>
      <c r="D20" s="1">
        <v>44752</v>
      </c>
      <c r="E20" s="4">
        <v>577808177</v>
      </c>
      <c r="F20" s="1">
        <v>44764</v>
      </c>
      <c r="G20" s="3">
        <v>5135</v>
      </c>
      <c r="H20" s="2">
        <v>651.21</v>
      </c>
      <c r="I20" s="2">
        <v>524.96</v>
      </c>
      <c r="J20" s="2">
        <v>3343963.35</v>
      </c>
      <c r="K20" s="2">
        <v>2695669.6</v>
      </c>
    </row>
    <row r="21" spans="1:11" x14ac:dyDescent="0.3">
      <c r="A21" s="4" t="s">
        <v>34</v>
      </c>
      <c r="B21" s="4" t="s">
        <v>1176</v>
      </c>
      <c r="C21" s="4" t="s">
        <v>17</v>
      </c>
      <c r="D21" s="1">
        <v>44348</v>
      </c>
      <c r="E21" s="4">
        <v>251974713</v>
      </c>
      <c r="F21" s="1">
        <v>44368</v>
      </c>
      <c r="G21" s="3">
        <v>3772</v>
      </c>
      <c r="H21" s="2">
        <v>651.21</v>
      </c>
      <c r="I21" s="2">
        <v>524.96</v>
      </c>
      <c r="J21" s="2">
        <v>2456364.12</v>
      </c>
      <c r="K21" s="2">
        <v>1980149.12</v>
      </c>
    </row>
    <row r="22" spans="1:11" x14ac:dyDescent="0.3">
      <c r="A22" s="4" t="s">
        <v>35</v>
      </c>
      <c r="B22" s="4" t="s">
        <v>1174</v>
      </c>
      <c r="C22" s="4" t="s">
        <v>19</v>
      </c>
      <c r="D22" s="1">
        <v>44040</v>
      </c>
      <c r="E22" s="4">
        <v>819947707</v>
      </c>
      <c r="F22" s="1">
        <v>44079</v>
      </c>
      <c r="G22" s="3">
        <v>9602</v>
      </c>
      <c r="H22" s="2">
        <v>81.73</v>
      </c>
      <c r="I22" s="2">
        <v>56.67</v>
      </c>
      <c r="J22" s="2">
        <v>784771.46000000008</v>
      </c>
      <c r="K22" s="2">
        <v>544145.34</v>
      </c>
    </row>
    <row r="23" spans="1:11" x14ac:dyDescent="0.3">
      <c r="A23" s="4" t="s">
        <v>36</v>
      </c>
      <c r="B23" s="4" t="s">
        <v>1172</v>
      </c>
      <c r="C23" s="4" t="s">
        <v>12</v>
      </c>
      <c r="D23" s="1">
        <v>44355</v>
      </c>
      <c r="E23" s="4">
        <v>464588487</v>
      </c>
      <c r="F23" s="1">
        <v>44402</v>
      </c>
      <c r="G23" s="3">
        <v>912</v>
      </c>
      <c r="H23" s="2">
        <v>437.2</v>
      </c>
      <c r="I23" s="2">
        <v>263.33</v>
      </c>
      <c r="J23" s="2">
        <v>398726.39999999997</v>
      </c>
      <c r="K23" s="2">
        <v>240156.96</v>
      </c>
    </row>
    <row r="24" spans="1:11" x14ac:dyDescent="0.3">
      <c r="A24" s="4" t="s">
        <v>37</v>
      </c>
      <c r="B24" s="4" t="s">
        <v>1160</v>
      </c>
      <c r="C24" s="4" t="s">
        <v>19</v>
      </c>
      <c r="D24" s="1">
        <v>44403</v>
      </c>
      <c r="E24" s="4">
        <v>139070880</v>
      </c>
      <c r="F24" s="1">
        <v>44412</v>
      </c>
      <c r="G24" s="3">
        <v>3019</v>
      </c>
      <c r="H24" s="2">
        <v>152.58000000000001</v>
      </c>
      <c r="I24" s="2">
        <v>97.44</v>
      </c>
      <c r="J24" s="2">
        <v>460639.02</v>
      </c>
      <c r="K24" s="2">
        <v>294171.36</v>
      </c>
    </row>
    <row r="25" spans="1:11" x14ac:dyDescent="0.3">
      <c r="A25" s="4" t="s">
        <v>38</v>
      </c>
      <c r="B25" s="4" t="s">
        <v>1180</v>
      </c>
      <c r="C25" s="4" t="s">
        <v>12</v>
      </c>
      <c r="D25" s="1">
        <v>44484</v>
      </c>
      <c r="E25" s="4">
        <v>416881215</v>
      </c>
      <c r="F25" s="1">
        <v>44490</v>
      </c>
      <c r="G25" s="3">
        <v>3270</v>
      </c>
      <c r="H25" s="2">
        <v>109.28</v>
      </c>
      <c r="I25" s="2">
        <v>35.840000000000003</v>
      </c>
      <c r="J25" s="2">
        <v>357345.6</v>
      </c>
      <c r="K25" s="2">
        <v>117196.80000000002</v>
      </c>
    </row>
    <row r="26" spans="1:11" x14ac:dyDescent="0.3">
      <c r="A26" s="4" t="s">
        <v>39</v>
      </c>
      <c r="B26" s="4" t="s">
        <v>1178</v>
      </c>
      <c r="C26" s="4" t="s">
        <v>12</v>
      </c>
      <c r="D26" s="1">
        <v>44523</v>
      </c>
      <c r="E26" s="4">
        <v>141818320</v>
      </c>
      <c r="F26" s="1">
        <v>44529</v>
      </c>
      <c r="G26" s="3">
        <v>6047</v>
      </c>
      <c r="H26" s="2">
        <v>154.06</v>
      </c>
      <c r="I26" s="2">
        <v>90.93</v>
      </c>
      <c r="J26" s="2">
        <v>931600.82000000007</v>
      </c>
      <c r="K26" s="2">
        <v>549853.71000000008</v>
      </c>
    </row>
    <row r="27" spans="1:11" x14ac:dyDescent="0.3">
      <c r="A27" s="4" t="s">
        <v>40</v>
      </c>
      <c r="B27" s="4" t="s">
        <v>1174</v>
      </c>
      <c r="C27" s="4" t="s">
        <v>14</v>
      </c>
      <c r="D27" s="1">
        <v>44592</v>
      </c>
      <c r="E27" s="4">
        <v>477993524</v>
      </c>
      <c r="F27" s="1">
        <v>44632</v>
      </c>
      <c r="G27" s="3">
        <v>7761</v>
      </c>
      <c r="H27" s="2">
        <v>81.73</v>
      </c>
      <c r="I27" s="2">
        <v>56.67</v>
      </c>
      <c r="J27" s="2">
        <v>634306.53</v>
      </c>
      <c r="K27" s="2">
        <v>439815.87</v>
      </c>
    </row>
    <row r="28" spans="1:11" x14ac:dyDescent="0.3">
      <c r="A28" s="4" t="s">
        <v>41</v>
      </c>
      <c r="B28" s="4" t="s">
        <v>1180</v>
      </c>
      <c r="C28" s="4" t="s">
        <v>14</v>
      </c>
      <c r="D28" s="1">
        <v>44388</v>
      </c>
      <c r="E28" s="4">
        <v>859830653</v>
      </c>
      <c r="F28" s="1">
        <v>44413</v>
      </c>
      <c r="G28" s="3">
        <v>1852</v>
      </c>
      <c r="H28" s="2">
        <v>109.28</v>
      </c>
      <c r="I28" s="2">
        <v>35.840000000000003</v>
      </c>
      <c r="J28" s="2">
        <v>202386.56</v>
      </c>
      <c r="K28" s="2">
        <v>66375.680000000008</v>
      </c>
    </row>
    <row r="29" spans="1:11" x14ac:dyDescent="0.3">
      <c r="A29" s="4" t="s">
        <v>42</v>
      </c>
      <c r="B29" s="4" t="s">
        <v>1180</v>
      </c>
      <c r="C29" s="4" t="s">
        <v>12</v>
      </c>
      <c r="D29" s="1">
        <v>44799</v>
      </c>
      <c r="E29" s="4">
        <v>342066037</v>
      </c>
      <c r="F29" s="1">
        <v>44845</v>
      </c>
      <c r="G29" s="3">
        <v>3797</v>
      </c>
      <c r="H29" s="2">
        <v>109.28</v>
      </c>
      <c r="I29" s="2">
        <v>35.840000000000003</v>
      </c>
      <c r="J29" s="2">
        <v>414936.16000000003</v>
      </c>
      <c r="K29" s="2">
        <v>136084.48000000001</v>
      </c>
    </row>
    <row r="30" spans="1:11" x14ac:dyDescent="0.3">
      <c r="A30" s="4" t="s">
        <v>43</v>
      </c>
      <c r="B30" s="4" t="s">
        <v>1182</v>
      </c>
      <c r="C30" s="4" t="s">
        <v>12</v>
      </c>
      <c r="D30" s="1">
        <v>44248</v>
      </c>
      <c r="E30" s="4">
        <v>749748504</v>
      </c>
      <c r="F30" s="1">
        <v>44271</v>
      </c>
      <c r="G30" s="3">
        <v>6098</v>
      </c>
      <c r="H30" s="2">
        <v>668.27</v>
      </c>
      <c r="I30" s="2">
        <v>502.54</v>
      </c>
      <c r="J30" s="2">
        <v>4075110.46</v>
      </c>
      <c r="K30" s="2">
        <v>3064488.92</v>
      </c>
    </row>
    <row r="31" spans="1:11" x14ac:dyDescent="0.3">
      <c r="A31" s="4" t="s">
        <v>44</v>
      </c>
      <c r="B31" s="4" t="s">
        <v>1172</v>
      </c>
      <c r="C31" s="4" t="s">
        <v>19</v>
      </c>
      <c r="D31" s="1">
        <v>44438</v>
      </c>
      <c r="E31" s="4">
        <v>828239381</v>
      </c>
      <c r="F31" s="1">
        <v>44477</v>
      </c>
      <c r="G31" s="3">
        <v>3293</v>
      </c>
      <c r="H31" s="2">
        <v>437.2</v>
      </c>
      <c r="I31" s="2">
        <v>263.33</v>
      </c>
      <c r="J31" s="2">
        <v>1439699.5999999999</v>
      </c>
      <c r="K31" s="2">
        <v>867145.69</v>
      </c>
    </row>
    <row r="32" spans="1:11" x14ac:dyDescent="0.3">
      <c r="A32" s="4" t="s">
        <v>45</v>
      </c>
      <c r="B32" s="4" t="s">
        <v>1178</v>
      </c>
      <c r="C32" s="4" t="s">
        <v>14</v>
      </c>
      <c r="D32" s="1">
        <v>44611</v>
      </c>
      <c r="E32" s="4">
        <v>293212497</v>
      </c>
      <c r="F32" s="1">
        <v>44629</v>
      </c>
      <c r="G32" s="3">
        <v>6948</v>
      </c>
      <c r="H32" s="2">
        <v>154.06</v>
      </c>
      <c r="I32" s="2">
        <v>90.93</v>
      </c>
      <c r="J32" s="2">
        <v>1070408.8800000001</v>
      </c>
      <c r="K32" s="2">
        <v>631781.64</v>
      </c>
    </row>
    <row r="33" spans="1:11" x14ac:dyDescent="0.3">
      <c r="A33" s="4" t="s">
        <v>46</v>
      </c>
      <c r="B33" s="4" t="s">
        <v>1174</v>
      </c>
      <c r="C33" s="4" t="s">
        <v>17</v>
      </c>
      <c r="D33" s="1">
        <v>44152</v>
      </c>
      <c r="E33" s="4">
        <v>280654180</v>
      </c>
      <c r="F33" s="1">
        <v>44198</v>
      </c>
      <c r="G33" s="3">
        <v>663</v>
      </c>
      <c r="H33" s="2">
        <v>81.73</v>
      </c>
      <c r="I33" s="2">
        <v>56.67</v>
      </c>
      <c r="J33" s="2">
        <v>54186.990000000005</v>
      </c>
      <c r="K33" s="2">
        <v>37572.21</v>
      </c>
    </row>
    <row r="34" spans="1:11" x14ac:dyDescent="0.3">
      <c r="A34" s="4" t="s">
        <v>47</v>
      </c>
      <c r="B34" s="4" t="s">
        <v>1180</v>
      </c>
      <c r="C34" s="4" t="s">
        <v>19</v>
      </c>
      <c r="D34" s="1">
        <v>44160</v>
      </c>
      <c r="E34" s="4">
        <v>196863257</v>
      </c>
      <c r="F34" s="1">
        <v>44205</v>
      </c>
      <c r="G34" s="3">
        <v>5067</v>
      </c>
      <c r="H34" s="2">
        <v>109.28</v>
      </c>
      <c r="I34" s="2">
        <v>35.840000000000003</v>
      </c>
      <c r="J34" s="2">
        <v>553721.76</v>
      </c>
      <c r="K34" s="2">
        <v>181601.28000000003</v>
      </c>
    </row>
    <row r="35" spans="1:11" x14ac:dyDescent="0.3">
      <c r="A35" s="4" t="s">
        <v>48</v>
      </c>
      <c r="B35" s="4" t="s">
        <v>1166</v>
      </c>
      <c r="C35" s="4" t="s">
        <v>14</v>
      </c>
      <c r="D35" s="1">
        <v>44840</v>
      </c>
      <c r="E35" s="4">
        <v>868451058</v>
      </c>
      <c r="F35" s="1">
        <v>44842</v>
      </c>
      <c r="G35" s="3">
        <v>2822</v>
      </c>
      <c r="H35" s="2">
        <v>9.33</v>
      </c>
      <c r="I35" s="2">
        <v>6.92</v>
      </c>
      <c r="J35" s="2">
        <v>26329.26</v>
      </c>
      <c r="K35" s="2">
        <v>19528.240000000002</v>
      </c>
    </row>
    <row r="36" spans="1:11" x14ac:dyDescent="0.3">
      <c r="A36" s="4" t="s">
        <v>49</v>
      </c>
      <c r="B36" s="4" t="s">
        <v>1180</v>
      </c>
      <c r="C36" s="4" t="s">
        <v>17</v>
      </c>
      <c r="D36" s="1">
        <v>43928</v>
      </c>
      <c r="E36" s="4">
        <v>492341411</v>
      </c>
      <c r="F36" s="1">
        <v>43975</v>
      </c>
      <c r="G36" s="3">
        <v>3619</v>
      </c>
      <c r="H36" s="2">
        <v>109.28</v>
      </c>
      <c r="I36" s="2">
        <v>35.840000000000003</v>
      </c>
      <c r="J36" s="2">
        <v>395484.32</v>
      </c>
      <c r="K36" s="2">
        <v>129704.96000000001</v>
      </c>
    </row>
    <row r="37" spans="1:11" x14ac:dyDescent="0.3">
      <c r="A37" s="4" t="s">
        <v>50</v>
      </c>
      <c r="B37" s="4" t="s">
        <v>1162</v>
      </c>
      <c r="C37" s="4" t="s">
        <v>14</v>
      </c>
      <c r="D37" s="1">
        <v>44532</v>
      </c>
      <c r="E37" s="4">
        <v>485770642</v>
      </c>
      <c r="F37" s="1">
        <v>44545</v>
      </c>
      <c r="G37" s="3">
        <v>9183</v>
      </c>
      <c r="H37" s="2">
        <v>421.89</v>
      </c>
      <c r="I37" s="2">
        <v>364.69</v>
      </c>
      <c r="J37" s="2">
        <v>3874215.8699999996</v>
      </c>
      <c r="K37" s="2">
        <v>3348948.27</v>
      </c>
    </row>
    <row r="38" spans="1:11" x14ac:dyDescent="0.3">
      <c r="A38" s="4" t="s">
        <v>51</v>
      </c>
      <c r="B38" s="4" t="s">
        <v>1170</v>
      </c>
      <c r="C38" s="4" t="s">
        <v>14</v>
      </c>
      <c r="D38" s="1">
        <v>44163</v>
      </c>
      <c r="E38" s="4">
        <v>536287581</v>
      </c>
      <c r="F38" s="1">
        <v>44193</v>
      </c>
      <c r="G38" s="3">
        <v>8268</v>
      </c>
      <c r="H38" s="2">
        <v>47.45</v>
      </c>
      <c r="I38" s="2">
        <v>31.79</v>
      </c>
      <c r="J38" s="2">
        <v>392316.60000000003</v>
      </c>
      <c r="K38" s="2">
        <v>262839.71999999997</v>
      </c>
    </row>
    <row r="39" spans="1:11" x14ac:dyDescent="0.3">
      <c r="A39" s="4" t="s">
        <v>52</v>
      </c>
      <c r="B39" s="4" t="s">
        <v>1164</v>
      </c>
      <c r="C39" s="4" t="s">
        <v>12</v>
      </c>
      <c r="D39" s="1">
        <v>44654</v>
      </c>
      <c r="E39" s="4">
        <v>851753556</v>
      </c>
      <c r="F39" s="1">
        <v>44693</v>
      </c>
      <c r="G39" s="3">
        <v>1660</v>
      </c>
      <c r="H39" s="2">
        <v>205.7</v>
      </c>
      <c r="I39" s="2">
        <v>117.11</v>
      </c>
      <c r="J39" s="2">
        <v>341462</v>
      </c>
      <c r="K39" s="2">
        <v>194402.6</v>
      </c>
    </row>
    <row r="40" spans="1:11" x14ac:dyDescent="0.3">
      <c r="A40" s="4" t="s">
        <v>53</v>
      </c>
      <c r="B40" s="4" t="s">
        <v>1178</v>
      </c>
      <c r="C40" s="4" t="s">
        <v>19</v>
      </c>
      <c r="D40" s="1">
        <v>44331</v>
      </c>
      <c r="E40" s="4">
        <v>810342395</v>
      </c>
      <c r="F40" s="1">
        <v>44347</v>
      </c>
      <c r="G40" s="3">
        <v>7177</v>
      </c>
      <c r="H40" s="2">
        <v>154.06</v>
      </c>
      <c r="I40" s="2">
        <v>90.93</v>
      </c>
      <c r="J40" s="2">
        <v>1105688.6200000001</v>
      </c>
      <c r="K40" s="2">
        <v>652604.6100000001</v>
      </c>
    </row>
    <row r="41" spans="1:11" x14ac:dyDescent="0.3">
      <c r="A41" s="4" t="s">
        <v>54</v>
      </c>
      <c r="B41" s="4" t="s">
        <v>1182</v>
      </c>
      <c r="C41" s="4" t="s">
        <v>17</v>
      </c>
      <c r="D41" s="1">
        <v>44799</v>
      </c>
      <c r="E41" s="4">
        <v>310540425</v>
      </c>
      <c r="F41" s="1">
        <v>44805</v>
      </c>
      <c r="G41" s="3">
        <v>4668</v>
      </c>
      <c r="H41" s="2">
        <v>668.27</v>
      </c>
      <c r="I41" s="2">
        <v>502.54</v>
      </c>
      <c r="J41" s="2">
        <v>3119484.36</v>
      </c>
      <c r="K41" s="2">
        <v>2345856.7200000002</v>
      </c>
    </row>
    <row r="42" spans="1:11" x14ac:dyDescent="0.3">
      <c r="A42" s="4" t="s">
        <v>55</v>
      </c>
      <c r="B42" s="4" t="s">
        <v>1166</v>
      </c>
      <c r="C42" s="4" t="s">
        <v>14</v>
      </c>
      <c r="D42" s="1">
        <v>44158</v>
      </c>
      <c r="E42" s="4">
        <v>221146476</v>
      </c>
      <c r="F42" s="1">
        <v>44196</v>
      </c>
      <c r="G42" s="3">
        <v>1011</v>
      </c>
      <c r="H42" s="2">
        <v>9.33</v>
      </c>
      <c r="I42" s="2">
        <v>6.92</v>
      </c>
      <c r="J42" s="2">
        <v>9432.6299999999992</v>
      </c>
      <c r="K42" s="2">
        <v>6996.12</v>
      </c>
    </row>
    <row r="43" spans="1:11" x14ac:dyDescent="0.3">
      <c r="A43" s="4" t="s">
        <v>56</v>
      </c>
      <c r="B43" s="4" t="s">
        <v>1180</v>
      </c>
      <c r="C43" s="4" t="s">
        <v>14</v>
      </c>
      <c r="D43" s="1">
        <v>44827</v>
      </c>
      <c r="E43" s="4">
        <v>131271874</v>
      </c>
      <c r="F43" s="1">
        <v>44831</v>
      </c>
      <c r="G43" s="3">
        <v>5120</v>
      </c>
      <c r="H43" s="2">
        <v>109.28</v>
      </c>
      <c r="I43" s="2">
        <v>35.840000000000003</v>
      </c>
      <c r="J43" s="2">
        <v>559513.59999999998</v>
      </c>
      <c r="K43" s="2">
        <v>183500.80000000002</v>
      </c>
    </row>
    <row r="44" spans="1:11" x14ac:dyDescent="0.3">
      <c r="A44" s="4" t="s">
        <v>57</v>
      </c>
      <c r="B44" s="4" t="s">
        <v>1166</v>
      </c>
      <c r="C44" s="4" t="s">
        <v>17</v>
      </c>
      <c r="D44" s="1">
        <v>44676</v>
      </c>
      <c r="E44" s="4">
        <v>600340449</v>
      </c>
      <c r="F44" s="1">
        <v>44714</v>
      </c>
      <c r="G44" s="3">
        <v>2935</v>
      </c>
      <c r="H44" s="2">
        <v>9.33</v>
      </c>
      <c r="I44" s="2">
        <v>6.92</v>
      </c>
      <c r="J44" s="2">
        <v>27383.55</v>
      </c>
      <c r="K44" s="2">
        <v>20310.2</v>
      </c>
    </row>
    <row r="45" spans="1:11" x14ac:dyDescent="0.3">
      <c r="A45" s="4" t="s">
        <v>58</v>
      </c>
      <c r="B45" s="4" t="s">
        <v>1176</v>
      </c>
      <c r="C45" s="4" t="s">
        <v>17</v>
      </c>
      <c r="D45" s="1">
        <v>44854</v>
      </c>
      <c r="E45" s="4">
        <v>908088529</v>
      </c>
      <c r="F45" s="1">
        <v>44887</v>
      </c>
      <c r="G45" s="3">
        <v>2430</v>
      </c>
      <c r="H45" s="2">
        <v>651.21</v>
      </c>
      <c r="I45" s="2">
        <v>524.96</v>
      </c>
      <c r="J45" s="2">
        <v>1582440.3</v>
      </c>
      <c r="K45" s="2">
        <v>1275652.8</v>
      </c>
    </row>
    <row r="46" spans="1:11" x14ac:dyDescent="0.3">
      <c r="A46" s="4" t="s">
        <v>59</v>
      </c>
      <c r="B46" s="4" t="s">
        <v>1164</v>
      </c>
      <c r="C46" s="4" t="s">
        <v>12</v>
      </c>
      <c r="D46" s="1">
        <v>44047</v>
      </c>
      <c r="E46" s="4">
        <v>404564940</v>
      </c>
      <c r="F46" s="1">
        <v>44071</v>
      </c>
      <c r="G46" s="3">
        <v>8611</v>
      </c>
      <c r="H46" s="2">
        <v>205.7</v>
      </c>
      <c r="I46" s="2">
        <v>117.11</v>
      </c>
      <c r="J46" s="2">
        <v>1771282.7</v>
      </c>
      <c r="K46" s="2">
        <v>1008434.21</v>
      </c>
    </row>
    <row r="47" spans="1:11" x14ac:dyDescent="0.3">
      <c r="A47" s="4" t="s">
        <v>60</v>
      </c>
      <c r="B47" s="4" t="s">
        <v>1174</v>
      </c>
      <c r="C47" s="4" t="s">
        <v>17</v>
      </c>
      <c r="D47" s="1">
        <v>44217</v>
      </c>
      <c r="E47" s="4">
        <v>760131013</v>
      </c>
      <c r="F47" s="1">
        <v>44224</v>
      </c>
      <c r="G47" s="3">
        <v>8513</v>
      </c>
      <c r="H47" s="2">
        <v>81.73</v>
      </c>
      <c r="I47" s="2">
        <v>56.67</v>
      </c>
      <c r="J47" s="2">
        <v>695767.49</v>
      </c>
      <c r="K47" s="2">
        <v>482431.71</v>
      </c>
    </row>
    <row r="48" spans="1:11" x14ac:dyDescent="0.3">
      <c r="A48" s="4" t="s">
        <v>61</v>
      </c>
      <c r="B48" s="4" t="s">
        <v>1180</v>
      </c>
      <c r="C48" s="4" t="s">
        <v>19</v>
      </c>
      <c r="D48" s="1">
        <v>44867</v>
      </c>
      <c r="E48" s="4">
        <v>115460574</v>
      </c>
      <c r="F48" s="1">
        <v>44884</v>
      </c>
      <c r="G48" s="3">
        <v>6205</v>
      </c>
      <c r="H48" s="2">
        <v>109.28</v>
      </c>
      <c r="I48" s="2">
        <v>35.840000000000003</v>
      </c>
      <c r="J48" s="2">
        <v>678082.4</v>
      </c>
      <c r="K48" s="2">
        <v>222387.20000000001</v>
      </c>
    </row>
    <row r="49" spans="1:11" x14ac:dyDescent="0.3">
      <c r="A49" s="4" t="s">
        <v>62</v>
      </c>
      <c r="B49" s="4" t="s">
        <v>1170</v>
      </c>
      <c r="C49" s="4" t="s">
        <v>17</v>
      </c>
      <c r="D49" s="1">
        <v>44600</v>
      </c>
      <c r="E49" s="4">
        <v>731539952</v>
      </c>
      <c r="F49" s="1">
        <v>44601</v>
      </c>
      <c r="G49" s="3">
        <v>7783</v>
      </c>
      <c r="H49" s="2">
        <v>47.45</v>
      </c>
      <c r="I49" s="2">
        <v>31.79</v>
      </c>
      <c r="J49" s="2">
        <v>369303.35000000003</v>
      </c>
      <c r="K49" s="2">
        <v>247421.57</v>
      </c>
    </row>
    <row r="50" spans="1:11" x14ac:dyDescent="0.3">
      <c r="A50" s="4" t="s">
        <v>63</v>
      </c>
      <c r="B50" s="4" t="s">
        <v>1162</v>
      </c>
      <c r="C50" s="4" t="s">
        <v>12</v>
      </c>
      <c r="D50" s="1">
        <v>44776</v>
      </c>
      <c r="E50" s="4">
        <v>439667975</v>
      </c>
      <c r="F50" s="1">
        <v>44825</v>
      </c>
      <c r="G50" s="3">
        <v>6379</v>
      </c>
      <c r="H50" s="2">
        <v>421.89</v>
      </c>
      <c r="I50" s="2">
        <v>364.69</v>
      </c>
      <c r="J50" s="2">
        <v>2691236.31</v>
      </c>
      <c r="K50" s="2">
        <v>2326357.5099999998</v>
      </c>
    </row>
    <row r="51" spans="1:11" x14ac:dyDescent="0.3">
      <c r="A51" s="4" t="s">
        <v>64</v>
      </c>
      <c r="B51" s="4" t="s">
        <v>1180</v>
      </c>
      <c r="C51" s="4" t="s">
        <v>17</v>
      </c>
      <c r="D51" s="1">
        <v>44815</v>
      </c>
      <c r="E51" s="4">
        <v>291455972</v>
      </c>
      <c r="F51" s="1">
        <v>44820</v>
      </c>
      <c r="G51" s="3">
        <v>7154</v>
      </c>
      <c r="H51" s="2">
        <v>109.28</v>
      </c>
      <c r="I51" s="2">
        <v>35.840000000000003</v>
      </c>
      <c r="J51" s="2">
        <v>781789.12</v>
      </c>
      <c r="K51" s="2">
        <v>256399.36000000002</v>
      </c>
    </row>
    <row r="52" spans="1:11" x14ac:dyDescent="0.3">
      <c r="A52" s="4" t="s">
        <v>65</v>
      </c>
      <c r="B52" s="4" t="s">
        <v>1164</v>
      </c>
      <c r="C52" s="4" t="s">
        <v>17</v>
      </c>
      <c r="D52" s="1">
        <v>44805</v>
      </c>
      <c r="E52" s="4">
        <v>508827769</v>
      </c>
      <c r="F52" s="1">
        <v>44817</v>
      </c>
      <c r="G52" s="3">
        <v>2299</v>
      </c>
      <c r="H52" s="2">
        <v>205.7</v>
      </c>
      <c r="I52" s="2">
        <v>117.11</v>
      </c>
      <c r="J52" s="2">
        <v>472904.3</v>
      </c>
      <c r="K52" s="2">
        <v>269235.89</v>
      </c>
    </row>
    <row r="53" spans="1:11" x14ac:dyDescent="0.3">
      <c r="A53" s="4" t="s">
        <v>66</v>
      </c>
      <c r="B53" s="4" t="s">
        <v>1178</v>
      </c>
      <c r="C53" s="4" t="s">
        <v>19</v>
      </c>
      <c r="D53" s="1">
        <v>43938</v>
      </c>
      <c r="E53" s="4">
        <v>934019696</v>
      </c>
      <c r="F53" s="1">
        <v>43958</v>
      </c>
      <c r="G53" s="3">
        <v>6039</v>
      </c>
      <c r="H53" s="2">
        <v>154.06</v>
      </c>
      <c r="I53" s="2">
        <v>90.93</v>
      </c>
      <c r="J53" s="2">
        <v>930368.34</v>
      </c>
      <c r="K53" s="2">
        <v>549126.27</v>
      </c>
    </row>
    <row r="54" spans="1:11" x14ac:dyDescent="0.3">
      <c r="A54" s="4" t="s">
        <v>67</v>
      </c>
      <c r="B54" s="4" t="s">
        <v>1170</v>
      </c>
      <c r="C54" s="4" t="s">
        <v>17</v>
      </c>
      <c r="D54" s="1">
        <v>44160</v>
      </c>
      <c r="E54" s="4">
        <v>579580581</v>
      </c>
      <c r="F54" s="1">
        <v>44177</v>
      </c>
      <c r="G54" s="3">
        <v>9628</v>
      </c>
      <c r="H54" s="2">
        <v>47.45</v>
      </c>
      <c r="I54" s="2">
        <v>31.79</v>
      </c>
      <c r="J54" s="2">
        <v>456848.60000000003</v>
      </c>
      <c r="K54" s="2">
        <v>306074.12</v>
      </c>
    </row>
    <row r="55" spans="1:11" x14ac:dyDescent="0.3">
      <c r="A55" s="4" t="s">
        <v>68</v>
      </c>
      <c r="B55" s="4" t="s">
        <v>1162</v>
      </c>
      <c r="C55" s="4" t="s">
        <v>12</v>
      </c>
      <c r="D55" s="1">
        <v>44435</v>
      </c>
      <c r="E55" s="4">
        <v>778371751</v>
      </c>
      <c r="F55" s="1">
        <v>44442</v>
      </c>
      <c r="G55" s="3">
        <v>6353</v>
      </c>
      <c r="H55" s="2">
        <v>421.89</v>
      </c>
      <c r="I55" s="2">
        <v>364.69</v>
      </c>
      <c r="J55" s="2">
        <v>2680267.17</v>
      </c>
      <c r="K55" s="2">
        <v>2316875.5699999998</v>
      </c>
    </row>
    <row r="56" spans="1:11" x14ac:dyDescent="0.3">
      <c r="A56" s="4" t="s">
        <v>69</v>
      </c>
      <c r="B56" s="4" t="s">
        <v>1178</v>
      </c>
      <c r="C56" s="4" t="s">
        <v>19</v>
      </c>
      <c r="D56" s="1">
        <v>44393</v>
      </c>
      <c r="E56" s="4">
        <v>233567035</v>
      </c>
      <c r="F56" s="1">
        <v>44425</v>
      </c>
      <c r="G56" s="3">
        <v>6531</v>
      </c>
      <c r="H56" s="2">
        <v>154.06</v>
      </c>
      <c r="I56" s="2">
        <v>90.93</v>
      </c>
      <c r="J56" s="2">
        <v>1006165.86</v>
      </c>
      <c r="K56" s="2">
        <v>593863.83000000007</v>
      </c>
    </row>
    <row r="57" spans="1:11" x14ac:dyDescent="0.3">
      <c r="A57" s="4" t="s">
        <v>70</v>
      </c>
      <c r="B57" s="4" t="s">
        <v>1170</v>
      </c>
      <c r="C57" s="4" t="s">
        <v>14</v>
      </c>
      <c r="D57" s="1">
        <v>44858</v>
      </c>
      <c r="E57" s="4">
        <v>868652760</v>
      </c>
      <c r="F57" s="1">
        <v>44903</v>
      </c>
      <c r="G57" s="3">
        <v>2510</v>
      </c>
      <c r="H57" s="2">
        <v>47.45</v>
      </c>
      <c r="I57" s="2">
        <v>31.79</v>
      </c>
      <c r="J57" s="2">
        <v>119099.5</v>
      </c>
      <c r="K57" s="2">
        <v>79792.899999999994</v>
      </c>
    </row>
    <row r="58" spans="1:11" x14ac:dyDescent="0.3">
      <c r="A58" s="4" t="s">
        <v>71</v>
      </c>
      <c r="B58" s="4" t="s">
        <v>1178</v>
      </c>
      <c r="C58" s="4" t="s">
        <v>17</v>
      </c>
      <c r="D58" s="1">
        <v>44188</v>
      </c>
      <c r="E58" s="4">
        <v>177427756</v>
      </c>
      <c r="F58" s="1">
        <v>44227</v>
      </c>
      <c r="G58" s="3">
        <v>3671</v>
      </c>
      <c r="H58" s="2">
        <v>154.06</v>
      </c>
      <c r="I58" s="2">
        <v>90.93</v>
      </c>
      <c r="J58" s="2">
        <v>565554.26</v>
      </c>
      <c r="K58" s="2">
        <v>333804.03000000003</v>
      </c>
    </row>
    <row r="59" spans="1:11" x14ac:dyDescent="0.3">
      <c r="A59" s="4" t="s">
        <v>72</v>
      </c>
      <c r="B59" s="4" t="s">
        <v>1164</v>
      </c>
      <c r="C59" s="4" t="s">
        <v>17</v>
      </c>
      <c r="D59" s="1">
        <v>44022</v>
      </c>
      <c r="E59" s="4">
        <v>674003350</v>
      </c>
      <c r="F59" s="1">
        <v>44042</v>
      </c>
      <c r="G59" s="3">
        <v>1424</v>
      </c>
      <c r="H59" s="2">
        <v>205.7</v>
      </c>
      <c r="I59" s="2">
        <v>117.11</v>
      </c>
      <c r="J59" s="2">
        <v>292916.8</v>
      </c>
      <c r="K59" s="2">
        <v>166764.63999999998</v>
      </c>
    </row>
    <row r="60" spans="1:11" x14ac:dyDescent="0.3">
      <c r="A60" s="4" t="s">
        <v>73</v>
      </c>
      <c r="B60" s="4" t="s">
        <v>1180</v>
      </c>
      <c r="C60" s="4" t="s">
        <v>17</v>
      </c>
      <c r="D60" s="1">
        <v>44577</v>
      </c>
      <c r="E60" s="4">
        <v>442803370</v>
      </c>
      <c r="F60" s="1">
        <v>44610</v>
      </c>
      <c r="G60" s="3">
        <v>4212</v>
      </c>
      <c r="H60" s="2">
        <v>109.28</v>
      </c>
      <c r="I60" s="2">
        <v>35.840000000000003</v>
      </c>
      <c r="J60" s="2">
        <v>460287.36</v>
      </c>
      <c r="K60" s="2">
        <v>150958.08000000002</v>
      </c>
    </row>
    <row r="61" spans="1:11" x14ac:dyDescent="0.3">
      <c r="A61" s="4" t="s">
        <v>74</v>
      </c>
      <c r="B61" s="4" t="s">
        <v>1168</v>
      </c>
      <c r="C61" s="4" t="s">
        <v>12</v>
      </c>
      <c r="D61" s="1">
        <v>44131</v>
      </c>
      <c r="E61" s="4">
        <v>788564145</v>
      </c>
      <c r="F61" s="1">
        <v>44166</v>
      </c>
      <c r="G61" s="3">
        <v>2509</v>
      </c>
      <c r="H61" s="2">
        <v>255.28</v>
      </c>
      <c r="I61" s="2">
        <v>159.41999999999999</v>
      </c>
      <c r="J61" s="2">
        <v>640497.52</v>
      </c>
      <c r="K61" s="2">
        <v>399984.77999999997</v>
      </c>
    </row>
    <row r="62" spans="1:11" x14ac:dyDescent="0.3">
      <c r="A62" s="4" t="s">
        <v>75</v>
      </c>
      <c r="B62" s="4" t="s">
        <v>1172</v>
      </c>
      <c r="C62" s="4" t="s">
        <v>19</v>
      </c>
      <c r="D62" s="1">
        <v>44763</v>
      </c>
      <c r="E62" s="4">
        <v>386334502</v>
      </c>
      <c r="F62" s="1">
        <v>44784</v>
      </c>
      <c r="G62" s="3">
        <v>3819</v>
      </c>
      <c r="H62" s="2">
        <v>437.2</v>
      </c>
      <c r="I62" s="2">
        <v>263.33</v>
      </c>
      <c r="J62" s="2">
        <v>1669666.8</v>
      </c>
      <c r="K62" s="2">
        <v>1005657.2699999999</v>
      </c>
    </row>
    <row r="63" spans="1:11" x14ac:dyDescent="0.3">
      <c r="A63" s="4" t="s">
        <v>76</v>
      </c>
      <c r="B63" s="4" t="s">
        <v>1174</v>
      </c>
      <c r="C63" s="4" t="s">
        <v>12</v>
      </c>
      <c r="D63" s="1">
        <v>44522</v>
      </c>
      <c r="E63" s="4">
        <v>231475770</v>
      </c>
      <c r="F63" s="1">
        <v>44523</v>
      </c>
      <c r="G63" s="3">
        <v>7679</v>
      </c>
      <c r="H63" s="2">
        <v>81.73</v>
      </c>
      <c r="I63" s="2">
        <v>56.67</v>
      </c>
      <c r="J63" s="2">
        <v>627604.67000000004</v>
      </c>
      <c r="K63" s="2">
        <v>435168.93</v>
      </c>
    </row>
    <row r="64" spans="1:11" x14ac:dyDescent="0.3">
      <c r="A64" s="4" t="s">
        <v>77</v>
      </c>
      <c r="B64" s="4" t="s">
        <v>1182</v>
      </c>
      <c r="C64" s="4" t="s">
        <v>19</v>
      </c>
      <c r="D64" s="1">
        <v>44214</v>
      </c>
      <c r="E64" s="4">
        <v>489661777</v>
      </c>
      <c r="F64" s="1">
        <v>44238</v>
      </c>
      <c r="G64" s="3">
        <v>656</v>
      </c>
      <c r="H64" s="2">
        <v>668.27</v>
      </c>
      <c r="I64" s="2">
        <v>502.54</v>
      </c>
      <c r="J64" s="2">
        <v>438385.12</v>
      </c>
      <c r="K64" s="2">
        <v>329666.24</v>
      </c>
    </row>
    <row r="65" spans="1:11" x14ac:dyDescent="0.3">
      <c r="A65" s="4" t="s">
        <v>78</v>
      </c>
      <c r="B65" s="4" t="s">
        <v>1174</v>
      </c>
      <c r="C65" s="4" t="s">
        <v>17</v>
      </c>
      <c r="D65" s="1">
        <v>44791</v>
      </c>
      <c r="E65" s="4">
        <v>946878850</v>
      </c>
      <c r="F65" s="1">
        <v>44839</v>
      </c>
      <c r="G65" s="3">
        <v>1348</v>
      </c>
      <c r="H65" s="2">
        <v>81.73</v>
      </c>
      <c r="I65" s="2">
        <v>56.67</v>
      </c>
      <c r="J65" s="2">
        <v>110172.04000000001</v>
      </c>
      <c r="K65" s="2">
        <v>76391.16</v>
      </c>
    </row>
    <row r="66" spans="1:11" x14ac:dyDescent="0.3">
      <c r="A66" s="4" t="s">
        <v>79</v>
      </c>
      <c r="B66" s="4" t="s">
        <v>1162</v>
      </c>
      <c r="C66" s="4" t="s">
        <v>17</v>
      </c>
      <c r="D66" s="1">
        <v>44743</v>
      </c>
      <c r="E66" s="4">
        <v>559425818</v>
      </c>
      <c r="F66" s="1">
        <v>44765</v>
      </c>
      <c r="G66" s="3">
        <v>5386</v>
      </c>
      <c r="H66" s="2">
        <v>421.89</v>
      </c>
      <c r="I66" s="2">
        <v>364.69</v>
      </c>
      <c r="J66" s="2">
        <v>2272299.54</v>
      </c>
      <c r="K66" s="2">
        <v>1964220.34</v>
      </c>
    </row>
    <row r="67" spans="1:11" x14ac:dyDescent="0.3">
      <c r="A67" s="4" t="s">
        <v>80</v>
      </c>
      <c r="B67" s="4" t="s">
        <v>1178</v>
      </c>
      <c r="C67" s="4" t="s">
        <v>19</v>
      </c>
      <c r="D67" s="1">
        <v>44795</v>
      </c>
      <c r="E67" s="4">
        <v>603914010</v>
      </c>
      <c r="F67" s="1">
        <v>44805</v>
      </c>
      <c r="G67" s="3">
        <v>431</v>
      </c>
      <c r="H67" s="2">
        <v>154.06</v>
      </c>
      <c r="I67" s="2">
        <v>90.93</v>
      </c>
      <c r="J67" s="2">
        <v>66399.86</v>
      </c>
      <c r="K67" s="2">
        <v>39190.83</v>
      </c>
    </row>
    <row r="68" spans="1:11" x14ac:dyDescent="0.3">
      <c r="A68" s="4" t="s">
        <v>81</v>
      </c>
      <c r="B68" s="4" t="s">
        <v>1166</v>
      </c>
      <c r="C68" s="4" t="s">
        <v>12</v>
      </c>
      <c r="D68" s="1">
        <v>44251</v>
      </c>
      <c r="E68" s="4">
        <v>627267253</v>
      </c>
      <c r="F68" s="1">
        <v>44263</v>
      </c>
      <c r="G68" s="3">
        <v>1174</v>
      </c>
      <c r="H68" s="2">
        <v>9.33</v>
      </c>
      <c r="I68" s="2">
        <v>6.92</v>
      </c>
      <c r="J68" s="2">
        <v>10953.42</v>
      </c>
      <c r="K68" s="2">
        <v>8124.08</v>
      </c>
    </row>
    <row r="69" spans="1:11" x14ac:dyDescent="0.3">
      <c r="A69" s="4" t="s">
        <v>82</v>
      </c>
      <c r="B69" s="4" t="s">
        <v>1168</v>
      </c>
      <c r="C69" s="4" t="s">
        <v>14</v>
      </c>
      <c r="D69" s="1">
        <v>44652</v>
      </c>
      <c r="E69" s="4">
        <v>696721875</v>
      </c>
      <c r="F69" s="1">
        <v>44693</v>
      </c>
      <c r="G69" s="3">
        <v>4340</v>
      </c>
      <c r="H69" s="2">
        <v>255.28</v>
      </c>
      <c r="I69" s="2">
        <v>159.41999999999999</v>
      </c>
      <c r="J69" s="2">
        <v>1107915.2</v>
      </c>
      <c r="K69" s="2">
        <v>691882.79999999993</v>
      </c>
    </row>
    <row r="70" spans="1:11" x14ac:dyDescent="0.3">
      <c r="A70" s="4" t="s">
        <v>83</v>
      </c>
      <c r="B70" s="4" t="s">
        <v>1174</v>
      </c>
      <c r="C70" s="4" t="s">
        <v>17</v>
      </c>
      <c r="D70" s="1">
        <v>44030</v>
      </c>
      <c r="E70" s="4">
        <v>949826705</v>
      </c>
      <c r="F70" s="1">
        <v>44080</v>
      </c>
      <c r="G70" s="3">
        <v>3684</v>
      </c>
      <c r="H70" s="2">
        <v>81.73</v>
      </c>
      <c r="I70" s="2">
        <v>56.67</v>
      </c>
      <c r="J70" s="2">
        <v>301093.32</v>
      </c>
      <c r="K70" s="2">
        <v>208772.28</v>
      </c>
    </row>
    <row r="71" spans="1:11" x14ac:dyDescent="0.3">
      <c r="A71" s="4" t="s">
        <v>84</v>
      </c>
      <c r="B71" s="4" t="s">
        <v>1174</v>
      </c>
      <c r="C71" s="4" t="s">
        <v>17</v>
      </c>
      <c r="D71" s="1">
        <v>44742</v>
      </c>
      <c r="E71" s="4">
        <v>244443070</v>
      </c>
      <c r="F71" s="1">
        <v>44745</v>
      </c>
      <c r="G71" s="3">
        <v>4991</v>
      </c>
      <c r="H71" s="2">
        <v>81.73</v>
      </c>
      <c r="I71" s="2">
        <v>56.67</v>
      </c>
      <c r="J71" s="2">
        <v>407914.43</v>
      </c>
      <c r="K71" s="2">
        <v>282839.97000000003</v>
      </c>
    </row>
    <row r="72" spans="1:11" x14ac:dyDescent="0.3">
      <c r="A72" s="4" t="s">
        <v>85</v>
      </c>
      <c r="B72" s="4" t="s">
        <v>1182</v>
      </c>
      <c r="C72" s="4" t="s">
        <v>14</v>
      </c>
      <c r="D72" s="1">
        <v>44590</v>
      </c>
      <c r="E72" s="4">
        <v>208744800</v>
      </c>
      <c r="F72" s="1">
        <v>44595</v>
      </c>
      <c r="G72" s="3">
        <v>1080</v>
      </c>
      <c r="H72" s="2">
        <v>668.27</v>
      </c>
      <c r="I72" s="2">
        <v>502.54</v>
      </c>
      <c r="J72" s="2">
        <v>721731.6</v>
      </c>
      <c r="K72" s="2">
        <v>542743.20000000007</v>
      </c>
    </row>
    <row r="73" spans="1:11" x14ac:dyDescent="0.3">
      <c r="A73" s="4" t="s">
        <v>86</v>
      </c>
      <c r="B73" s="4" t="s">
        <v>1162</v>
      </c>
      <c r="C73" s="4" t="s">
        <v>12</v>
      </c>
      <c r="D73" s="1">
        <v>44660</v>
      </c>
      <c r="E73" s="4">
        <v>291218221</v>
      </c>
      <c r="F73" s="1">
        <v>44683</v>
      </c>
      <c r="G73" s="3">
        <v>6798</v>
      </c>
      <c r="H73" s="2">
        <v>421.89</v>
      </c>
      <c r="I73" s="2">
        <v>364.69</v>
      </c>
      <c r="J73" s="2">
        <v>2868008.2199999997</v>
      </c>
      <c r="K73" s="2">
        <v>2479162.62</v>
      </c>
    </row>
    <row r="74" spans="1:11" x14ac:dyDescent="0.3">
      <c r="A74" s="4" t="s">
        <v>87</v>
      </c>
      <c r="B74" s="4" t="s">
        <v>1182</v>
      </c>
      <c r="C74" s="4" t="s">
        <v>19</v>
      </c>
      <c r="D74" s="1">
        <v>44614</v>
      </c>
      <c r="E74" s="4">
        <v>910662162</v>
      </c>
      <c r="F74" s="1">
        <v>44625</v>
      </c>
      <c r="G74" s="3">
        <v>4025</v>
      </c>
      <c r="H74" s="2">
        <v>668.27</v>
      </c>
      <c r="I74" s="2">
        <v>502.54</v>
      </c>
      <c r="J74" s="2">
        <v>2689786.75</v>
      </c>
      <c r="K74" s="2">
        <v>2022723.5</v>
      </c>
    </row>
    <row r="75" spans="1:11" x14ac:dyDescent="0.3">
      <c r="A75" s="4" t="s">
        <v>88</v>
      </c>
      <c r="B75" s="4" t="s">
        <v>1176</v>
      </c>
      <c r="C75" s="4" t="s">
        <v>19</v>
      </c>
      <c r="D75" s="1">
        <v>44264</v>
      </c>
      <c r="E75" s="4">
        <v>306187951</v>
      </c>
      <c r="F75" s="1">
        <v>44303</v>
      </c>
      <c r="G75" s="3">
        <v>6674</v>
      </c>
      <c r="H75" s="2">
        <v>651.21</v>
      </c>
      <c r="I75" s="2">
        <v>524.96</v>
      </c>
      <c r="J75" s="2">
        <v>4346175.54</v>
      </c>
      <c r="K75" s="2">
        <v>3503583.04</v>
      </c>
    </row>
    <row r="76" spans="1:11" x14ac:dyDescent="0.3">
      <c r="A76" s="4" t="s">
        <v>89</v>
      </c>
      <c r="B76" s="4" t="s">
        <v>1166</v>
      </c>
      <c r="C76" s="4" t="s">
        <v>14</v>
      </c>
      <c r="D76" s="1">
        <v>44090</v>
      </c>
      <c r="E76" s="4">
        <v>387219417</v>
      </c>
      <c r="F76" s="1">
        <v>44101</v>
      </c>
      <c r="G76" s="3">
        <v>5685</v>
      </c>
      <c r="H76" s="2">
        <v>9.33</v>
      </c>
      <c r="I76" s="2">
        <v>6.92</v>
      </c>
      <c r="J76" s="2">
        <v>53041.05</v>
      </c>
      <c r="K76" s="2">
        <v>39340.199999999997</v>
      </c>
    </row>
    <row r="77" spans="1:11" x14ac:dyDescent="0.3">
      <c r="A77" s="4" t="s">
        <v>90</v>
      </c>
      <c r="B77" s="4" t="s">
        <v>1178</v>
      </c>
      <c r="C77" s="4" t="s">
        <v>17</v>
      </c>
      <c r="D77" s="1">
        <v>44717</v>
      </c>
      <c r="E77" s="4">
        <v>883492887</v>
      </c>
      <c r="F77" s="1">
        <v>44717</v>
      </c>
      <c r="G77" s="3">
        <v>4033</v>
      </c>
      <c r="H77" s="2">
        <v>154.06</v>
      </c>
      <c r="I77" s="2">
        <v>90.93</v>
      </c>
      <c r="J77" s="2">
        <v>621323.98</v>
      </c>
      <c r="K77" s="2">
        <v>366720.69</v>
      </c>
    </row>
    <row r="78" spans="1:11" x14ac:dyDescent="0.3">
      <c r="A78" s="4" t="s">
        <v>91</v>
      </c>
      <c r="B78" s="4" t="s">
        <v>1170</v>
      </c>
      <c r="C78" s="4" t="s">
        <v>17</v>
      </c>
      <c r="D78" s="1">
        <v>44310</v>
      </c>
      <c r="E78" s="4">
        <v>695057189</v>
      </c>
      <c r="F78" s="1">
        <v>44324</v>
      </c>
      <c r="G78" s="3">
        <v>1723</v>
      </c>
      <c r="H78" s="2">
        <v>47.45</v>
      </c>
      <c r="I78" s="2">
        <v>31.79</v>
      </c>
      <c r="J78" s="2">
        <v>81756.350000000006</v>
      </c>
      <c r="K78" s="2">
        <v>54774.17</v>
      </c>
    </row>
    <row r="79" spans="1:11" x14ac:dyDescent="0.3">
      <c r="A79" s="4" t="s">
        <v>92</v>
      </c>
      <c r="B79" s="4" t="s">
        <v>1172</v>
      </c>
      <c r="C79" s="4" t="s">
        <v>17</v>
      </c>
      <c r="D79" s="1">
        <v>44309</v>
      </c>
      <c r="E79" s="4">
        <v>142273652</v>
      </c>
      <c r="F79" s="1">
        <v>44332</v>
      </c>
      <c r="G79" s="3">
        <v>790</v>
      </c>
      <c r="H79" s="2">
        <v>437.2</v>
      </c>
      <c r="I79" s="2">
        <v>263.33</v>
      </c>
      <c r="J79" s="2">
        <v>345388</v>
      </c>
      <c r="K79" s="2">
        <v>208030.69999999998</v>
      </c>
    </row>
    <row r="80" spans="1:11" x14ac:dyDescent="0.3">
      <c r="A80" s="4" t="s">
        <v>93</v>
      </c>
      <c r="B80" s="4" t="s">
        <v>1164</v>
      </c>
      <c r="C80" s="4" t="s">
        <v>17</v>
      </c>
      <c r="D80" s="1">
        <v>44740</v>
      </c>
      <c r="E80" s="4">
        <v>515816104</v>
      </c>
      <c r="F80" s="1">
        <v>44779</v>
      </c>
      <c r="G80" s="3">
        <v>303</v>
      </c>
      <c r="H80" s="2">
        <v>205.7</v>
      </c>
      <c r="I80" s="2">
        <v>117.11</v>
      </c>
      <c r="J80" s="2">
        <v>62327.1</v>
      </c>
      <c r="K80" s="2">
        <v>35484.33</v>
      </c>
    </row>
    <row r="81" spans="1:11" x14ac:dyDescent="0.3">
      <c r="A81" s="4" t="s">
        <v>94</v>
      </c>
      <c r="B81" s="4" t="s">
        <v>1174</v>
      </c>
      <c r="C81" s="4" t="s">
        <v>17</v>
      </c>
      <c r="D81" s="1">
        <v>44726</v>
      </c>
      <c r="E81" s="4">
        <v>926670873</v>
      </c>
      <c r="F81" s="1">
        <v>44759</v>
      </c>
      <c r="G81" s="3">
        <v>1359</v>
      </c>
      <c r="H81" s="2">
        <v>81.73</v>
      </c>
      <c r="I81" s="2">
        <v>56.67</v>
      </c>
      <c r="J81" s="2">
        <v>111071.07</v>
      </c>
      <c r="K81" s="2">
        <v>77014.53</v>
      </c>
    </row>
    <row r="82" spans="1:11" x14ac:dyDescent="0.3">
      <c r="A82" s="4" t="s">
        <v>95</v>
      </c>
      <c r="B82" s="4" t="s">
        <v>1182</v>
      </c>
      <c r="C82" s="4" t="s">
        <v>17</v>
      </c>
      <c r="D82" s="1">
        <v>44062</v>
      </c>
      <c r="E82" s="4">
        <v>556136786</v>
      </c>
      <c r="F82" s="1">
        <v>44079</v>
      </c>
      <c r="G82" s="3">
        <v>2089</v>
      </c>
      <c r="H82" s="2">
        <v>668.27</v>
      </c>
      <c r="I82" s="2">
        <v>502.54</v>
      </c>
      <c r="J82" s="2">
        <v>1396016.03</v>
      </c>
      <c r="K82" s="2">
        <v>1049806.06</v>
      </c>
    </row>
    <row r="83" spans="1:11" x14ac:dyDescent="0.3">
      <c r="A83" s="4" t="s">
        <v>96</v>
      </c>
      <c r="B83" s="4" t="s">
        <v>1168</v>
      </c>
      <c r="C83" s="4" t="s">
        <v>17</v>
      </c>
      <c r="D83" s="1">
        <v>44779</v>
      </c>
      <c r="E83" s="4">
        <v>905825173</v>
      </c>
      <c r="F83" s="1">
        <v>44795</v>
      </c>
      <c r="G83" s="3">
        <v>2653</v>
      </c>
      <c r="H83" s="2">
        <v>255.28</v>
      </c>
      <c r="I83" s="2">
        <v>159.41999999999999</v>
      </c>
      <c r="J83" s="2">
        <v>677257.84</v>
      </c>
      <c r="K83" s="2">
        <v>422941.25999999995</v>
      </c>
    </row>
    <row r="84" spans="1:11" x14ac:dyDescent="0.3">
      <c r="A84" s="4" t="s">
        <v>97</v>
      </c>
      <c r="B84" s="4" t="s">
        <v>1176</v>
      </c>
      <c r="C84" s="4" t="s">
        <v>12</v>
      </c>
      <c r="D84" s="1">
        <v>44354</v>
      </c>
      <c r="E84" s="4">
        <v>847659862</v>
      </c>
      <c r="F84" s="1">
        <v>44399</v>
      </c>
      <c r="G84" s="3">
        <v>245</v>
      </c>
      <c r="H84" s="2">
        <v>651.21</v>
      </c>
      <c r="I84" s="2">
        <v>524.96</v>
      </c>
      <c r="J84" s="2">
        <v>159546.45000000001</v>
      </c>
      <c r="K84" s="2">
        <v>128615.20000000001</v>
      </c>
    </row>
    <row r="85" spans="1:11" x14ac:dyDescent="0.3">
      <c r="A85" s="4" t="s">
        <v>98</v>
      </c>
      <c r="B85" s="4" t="s">
        <v>1162</v>
      </c>
      <c r="C85" s="4" t="s">
        <v>17</v>
      </c>
      <c r="D85" s="1">
        <v>44587</v>
      </c>
      <c r="E85" s="4">
        <v>673877179</v>
      </c>
      <c r="F85" s="1">
        <v>44613</v>
      </c>
      <c r="G85" s="3">
        <v>4087</v>
      </c>
      <c r="H85" s="2">
        <v>421.89</v>
      </c>
      <c r="I85" s="2">
        <v>364.69</v>
      </c>
      <c r="J85" s="2">
        <v>1724264.43</v>
      </c>
      <c r="K85" s="2">
        <v>1490488.03</v>
      </c>
    </row>
    <row r="86" spans="1:11" x14ac:dyDescent="0.3">
      <c r="A86" s="4" t="s">
        <v>99</v>
      </c>
      <c r="B86" s="4" t="s">
        <v>1168</v>
      </c>
      <c r="C86" s="4" t="s">
        <v>17</v>
      </c>
      <c r="D86" s="1">
        <v>44818</v>
      </c>
      <c r="E86" s="4">
        <v>747025954</v>
      </c>
      <c r="F86" s="1">
        <v>44846</v>
      </c>
      <c r="G86" s="3">
        <v>435</v>
      </c>
      <c r="H86" s="2">
        <v>255.28</v>
      </c>
      <c r="I86" s="2">
        <v>159.41999999999999</v>
      </c>
      <c r="J86" s="2">
        <v>111046.8</v>
      </c>
      <c r="K86" s="2">
        <v>69347.7</v>
      </c>
    </row>
    <row r="87" spans="1:11" x14ac:dyDescent="0.3">
      <c r="A87" s="4" t="s">
        <v>100</v>
      </c>
      <c r="B87" s="4" t="s">
        <v>1172</v>
      </c>
      <c r="C87" s="4" t="s">
        <v>19</v>
      </c>
      <c r="D87" s="1">
        <v>44531</v>
      </c>
      <c r="E87" s="4">
        <v>149967515</v>
      </c>
      <c r="F87" s="1">
        <v>44557</v>
      </c>
      <c r="G87" s="3">
        <v>7575</v>
      </c>
      <c r="H87" s="2">
        <v>437.2</v>
      </c>
      <c r="I87" s="2">
        <v>263.33</v>
      </c>
      <c r="J87" s="2">
        <v>3311790</v>
      </c>
      <c r="K87" s="2">
        <v>1994724.7499999998</v>
      </c>
    </row>
    <row r="88" spans="1:11" x14ac:dyDescent="0.3">
      <c r="A88" s="4" t="s">
        <v>101</v>
      </c>
      <c r="B88" s="4" t="s">
        <v>1174</v>
      </c>
      <c r="C88" s="4" t="s">
        <v>12</v>
      </c>
      <c r="D88" s="1">
        <v>43878</v>
      </c>
      <c r="E88" s="4">
        <v>735875689</v>
      </c>
      <c r="F88" s="1">
        <v>43915</v>
      </c>
      <c r="G88" s="3">
        <v>824</v>
      </c>
      <c r="H88" s="2">
        <v>81.73</v>
      </c>
      <c r="I88" s="2">
        <v>56.67</v>
      </c>
      <c r="J88" s="2">
        <v>67345.52</v>
      </c>
      <c r="K88" s="2">
        <v>46696.08</v>
      </c>
    </row>
    <row r="89" spans="1:11" x14ac:dyDescent="0.3">
      <c r="A89" s="4" t="s">
        <v>102</v>
      </c>
      <c r="B89" s="4" t="s">
        <v>1176</v>
      </c>
      <c r="C89" s="4" t="s">
        <v>12</v>
      </c>
      <c r="D89" s="1">
        <v>44205</v>
      </c>
      <c r="E89" s="4">
        <v>378236806</v>
      </c>
      <c r="F89" s="1">
        <v>44245</v>
      </c>
      <c r="G89" s="3">
        <v>7531</v>
      </c>
      <c r="H89" s="2">
        <v>651.21</v>
      </c>
      <c r="I89" s="2">
        <v>524.96</v>
      </c>
      <c r="J89" s="2">
        <v>4904262.5100000007</v>
      </c>
      <c r="K89" s="2">
        <v>3953473.7600000002</v>
      </c>
    </row>
    <row r="90" spans="1:11" x14ac:dyDescent="0.3">
      <c r="A90" s="4" t="s">
        <v>103</v>
      </c>
      <c r="B90" s="4" t="s">
        <v>1172</v>
      </c>
      <c r="C90" s="4" t="s">
        <v>14</v>
      </c>
      <c r="D90" s="1">
        <v>44392</v>
      </c>
      <c r="E90" s="4">
        <v>620849692</v>
      </c>
      <c r="F90" s="1">
        <v>44395</v>
      </c>
      <c r="G90" s="3">
        <v>2075</v>
      </c>
      <c r="H90" s="2">
        <v>437.2</v>
      </c>
      <c r="I90" s="2">
        <v>263.33</v>
      </c>
      <c r="J90" s="2">
        <v>907190</v>
      </c>
      <c r="K90" s="2">
        <v>546409.75</v>
      </c>
    </row>
    <row r="91" spans="1:11" x14ac:dyDescent="0.3">
      <c r="A91" s="4" t="s">
        <v>104</v>
      </c>
      <c r="B91" s="4" t="s">
        <v>1160</v>
      </c>
      <c r="C91" s="4" t="s">
        <v>17</v>
      </c>
      <c r="D91" s="1">
        <v>44511</v>
      </c>
      <c r="E91" s="4">
        <v>827825677</v>
      </c>
      <c r="F91" s="1">
        <v>44519</v>
      </c>
      <c r="G91" s="3">
        <v>869</v>
      </c>
      <c r="H91" s="2">
        <v>152.58000000000001</v>
      </c>
      <c r="I91" s="2">
        <v>97.44</v>
      </c>
      <c r="J91" s="2">
        <v>132592.02000000002</v>
      </c>
      <c r="K91" s="2">
        <v>84675.36</v>
      </c>
    </row>
    <row r="92" spans="1:11" x14ac:dyDescent="0.3">
      <c r="A92" s="4" t="s">
        <v>105</v>
      </c>
      <c r="B92" s="4" t="s">
        <v>1182</v>
      </c>
      <c r="C92" s="4" t="s">
        <v>12</v>
      </c>
      <c r="D92" s="1">
        <v>44260</v>
      </c>
      <c r="E92" s="4">
        <v>433588588</v>
      </c>
      <c r="F92" s="1">
        <v>44283</v>
      </c>
      <c r="G92" s="3">
        <v>7353</v>
      </c>
      <c r="H92" s="2">
        <v>668.27</v>
      </c>
      <c r="I92" s="2">
        <v>502.54</v>
      </c>
      <c r="J92" s="2">
        <v>4913789.3099999996</v>
      </c>
      <c r="K92" s="2">
        <v>3695176.62</v>
      </c>
    </row>
    <row r="93" spans="1:11" x14ac:dyDescent="0.3">
      <c r="A93" s="4" t="s">
        <v>106</v>
      </c>
      <c r="B93" s="4" t="s">
        <v>1162</v>
      </c>
      <c r="C93" s="4" t="s">
        <v>14</v>
      </c>
      <c r="D93" s="1">
        <v>44524</v>
      </c>
      <c r="E93" s="4">
        <v>292874753</v>
      </c>
      <c r="F93" s="1">
        <v>44555</v>
      </c>
      <c r="G93" s="3">
        <v>7003</v>
      </c>
      <c r="H93" s="2">
        <v>421.89</v>
      </c>
      <c r="I93" s="2">
        <v>364.69</v>
      </c>
      <c r="J93" s="2">
        <v>2954495.67</v>
      </c>
      <c r="K93" s="2">
        <v>2553924.0699999998</v>
      </c>
    </row>
    <row r="94" spans="1:11" x14ac:dyDescent="0.3">
      <c r="A94" s="4" t="s">
        <v>107</v>
      </c>
      <c r="B94" s="4" t="s">
        <v>1176</v>
      </c>
      <c r="C94" s="4" t="s">
        <v>17</v>
      </c>
      <c r="D94" s="1">
        <v>44773</v>
      </c>
      <c r="E94" s="4">
        <v>430733001</v>
      </c>
      <c r="F94" s="1">
        <v>44775</v>
      </c>
      <c r="G94" s="3">
        <v>2322</v>
      </c>
      <c r="H94" s="2">
        <v>651.21</v>
      </c>
      <c r="I94" s="2">
        <v>524.96</v>
      </c>
      <c r="J94" s="2">
        <v>1512109.62</v>
      </c>
      <c r="K94" s="2">
        <v>1218957.1200000001</v>
      </c>
    </row>
    <row r="95" spans="1:11" x14ac:dyDescent="0.3">
      <c r="A95" s="4" t="s">
        <v>108</v>
      </c>
      <c r="B95" s="4" t="s">
        <v>1166</v>
      </c>
      <c r="C95" s="4" t="s">
        <v>19</v>
      </c>
      <c r="D95" s="1">
        <v>44623</v>
      </c>
      <c r="E95" s="4">
        <v>492524659</v>
      </c>
      <c r="F95" s="1">
        <v>44645</v>
      </c>
      <c r="G95" s="3">
        <v>7846</v>
      </c>
      <c r="H95" s="2">
        <v>9.33</v>
      </c>
      <c r="I95" s="2">
        <v>6.92</v>
      </c>
      <c r="J95" s="2">
        <v>73203.180000000008</v>
      </c>
      <c r="K95" s="2">
        <v>54294.32</v>
      </c>
    </row>
    <row r="96" spans="1:11" x14ac:dyDescent="0.3">
      <c r="A96" s="4" t="s">
        <v>109</v>
      </c>
      <c r="B96" s="4" t="s">
        <v>1170</v>
      </c>
      <c r="C96" s="4" t="s">
        <v>17</v>
      </c>
      <c r="D96" s="1">
        <v>44356</v>
      </c>
      <c r="E96" s="4">
        <v>193923556</v>
      </c>
      <c r="F96" s="1">
        <v>44367</v>
      </c>
      <c r="G96" s="3">
        <v>5145</v>
      </c>
      <c r="H96" s="2">
        <v>47.45</v>
      </c>
      <c r="I96" s="2">
        <v>31.79</v>
      </c>
      <c r="J96" s="2">
        <v>244130.25000000003</v>
      </c>
      <c r="K96" s="2">
        <v>163559.54999999999</v>
      </c>
    </row>
    <row r="97" spans="1:11" x14ac:dyDescent="0.3">
      <c r="A97" s="4" t="s">
        <v>110</v>
      </c>
      <c r="B97" s="4" t="s">
        <v>1170</v>
      </c>
      <c r="C97" s="4" t="s">
        <v>17</v>
      </c>
      <c r="D97" s="1">
        <v>44403</v>
      </c>
      <c r="E97" s="4">
        <v>670916020</v>
      </c>
      <c r="F97" s="1">
        <v>44410</v>
      </c>
      <c r="G97" s="3">
        <v>7815</v>
      </c>
      <c r="H97" s="2">
        <v>47.45</v>
      </c>
      <c r="I97" s="2">
        <v>31.79</v>
      </c>
      <c r="J97" s="2">
        <v>370821.75</v>
      </c>
      <c r="K97" s="2">
        <v>248438.85</v>
      </c>
    </row>
    <row r="98" spans="1:11" x14ac:dyDescent="0.3">
      <c r="A98" s="4" t="s">
        <v>111</v>
      </c>
      <c r="B98" s="4" t="s">
        <v>1168</v>
      </c>
      <c r="C98" s="4" t="s">
        <v>12</v>
      </c>
      <c r="D98" s="1">
        <v>44821</v>
      </c>
      <c r="E98" s="4">
        <v>429800879</v>
      </c>
      <c r="F98" s="1">
        <v>44853</v>
      </c>
      <c r="G98" s="3">
        <v>6486</v>
      </c>
      <c r="H98" s="2">
        <v>255.28</v>
      </c>
      <c r="I98" s="2">
        <v>159.41999999999999</v>
      </c>
      <c r="J98" s="2">
        <v>1655746.08</v>
      </c>
      <c r="K98" s="2">
        <v>1033998.1199999999</v>
      </c>
    </row>
    <row r="99" spans="1:11" x14ac:dyDescent="0.3">
      <c r="A99" s="4" t="s">
        <v>112</v>
      </c>
      <c r="B99" s="4" t="s">
        <v>1182</v>
      </c>
      <c r="C99" s="4" t="s">
        <v>14</v>
      </c>
      <c r="D99" s="1">
        <v>44767</v>
      </c>
      <c r="E99" s="4">
        <v>297189462</v>
      </c>
      <c r="F99" s="1">
        <v>44792</v>
      </c>
      <c r="G99" s="3">
        <v>3821</v>
      </c>
      <c r="H99" s="2">
        <v>668.27</v>
      </c>
      <c r="I99" s="2">
        <v>502.54</v>
      </c>
      <c r="J99" s="2">
        <v>2553459.67</v>
      </c>
      <c r="K99" s="2">
        <v>1920205.34</v>
      </c>
    </row>
    <row r="100" spans="1:11" x14ac:dyDescent="0.3">
      <c r="A100" s="4" t="s">
        <v>113</v>
      </c>
      <c r="B100" s="4" t="s">
        <v>1174</v>
      </c>
      <c r="C100" s="4" t="s">
        <v>19</v>
      </c>
      <c r="D100" s="1">
        <v>44069</v>
      </c>
      <c r="E100" s="4">
        <v>270005595</v>
      </c>
      <c r="F100" s="1">
        <v>44078</v>
      </c>
      <c r="G100" s="3">
        <v>9511</v>
      </c>
      <c r="H100" s="2">
        <v>81.73</v>
      </c>
      <c r="I100" s="2">
        <v>56.67</v>
      </c>
      <c r="J100" s="2">
        <v>777334.03</v>
      </c>
      <c r="K100" s="2">
        <v>538988.37</v>
      </c>
    </row>
    <row r="101" spans="1:11" x14ac:dyDescent="0.3">
      <c r="A101" s="4" t="s">
        <v>114</v>
      </c>
      <c r="B101" s="4" t="s">
        <v>1160</v>
      </c>
      <c r="C101" s="4" t="s">
        <v>17</v>
      </c>
      <c r="D101" s="1">
        <v>44788</v>
      </c>
      <c r="E101" s="4">
        <v>865485608</v>
      </c>
      <c r="F101" s="1">
        <v>44814</v>
      </c>
      <c r="G101" s="3">
        <v>5279</v>
      </c>
      <c r="H101" s="2">
        <v>152.58000000000001</v>
      </c>
      <c r="I101" s="2">
        <v>97.44</v>
      </c>
      <c r="J101" s="2">
        <v>805469.82000000007</v>
      </c>
      <c r="K101" s="2">
        <v>514385.76</v>
      </c>
    </row>
    <row r="102" spans="1:11" x14ac:dyDescent="0.3">
      <c r="A102" s="4" t="s">
        <v>115</v>
      </c>
      <c r="B102" s="4" t="s">
        <v>1164</v>
      </c>
      <c r="C102" s="4" t="s">
        <v>14</v>
      </c>
      <c r="D102" s="1">
        <v>44436</v>
      </c>
      <c r="E102" s="4">
        <v>871178328</v>
      </c>
      <c r="F102" s="1">
        <v>44436</v>
      </c>
      <c r="G102" s="3">
        <v>9882</v>
      </c>
      <c r="H102" s="2">
        <v>205.7</v>
      </c>
      <c r="I102" s="2">
        <v>117.11</v>
      </c>
      <c r="J102" s="2">
        <v>2032727.4</v>
      </c>
      <c r="K102" s="2">
        <v>1157281.02</v>
      </c>
    </row>
    <row r="103" spans="1:11" x14ac:dyDescent="0.3">
      <c r="A103" s="4" t="s">
        <v>116</v>
      </c>
      <c r="B103" s="4" t="s">
        <v>1178</v>
      </c>
      <c r="C103" s="4" t="s">
        <v>17</v>
      </c>
      <c r="D103" s="1">
        <v>44846</v>
      </c>
      <c r="E103" s="4">
        <v>494945085</v>
      </c>
      <c r="F103" s="1">
        <v>44871</v>
      </c>
      <c r="G103" s="3">
        <v>4104</v>
      </c>
      <c r="H103" s="2">
        <v>154.06</v>
      </c>
      <c r="I103" s="2">
        <v>90.93</v>
      </c>
      <c r="J103" s="2">
        <v>632262.24</v>
      </c>
      <c r="K103" s="2">
        <v>373176.72000000003</v>
      </c>
    </row>
    <row r="104" spans="1:11" x14ac:dyDescent="0.3">
      <c r="A104" s="4" t="s">
        <v>117</v>
      </c>
      <c r="B104" s="4" t="s">
        <v>1160</v>
      </c>
      <c r="C104" s="4" t="s">
        <v>12</v>
      </c>
      <c r="D104" s="1">
        <v>44345</v>
      </c>
      <c r="E104" s="4">
        <v>914959704</v>
      </c>
      <c r="F104" s="1">
        <v>44371</v>
      </c>
      <c r="G104" s="3">
        <v>5764</v>
      </c>
      <c r="H104" s="2">
        <v>152.58000000000001</v>
      </c>
      <c r="I104" s="2">
        <v>97.44</v>
      </c>
      <c r="J104" s="2">
        <v>879471.12000000011</v>
      </c>
      <c r="K104" s="2">
        <v>561644.16</v>
      </c>
    </row>
    <row r="105" spans="1:11" x14ac:dyDescent="0.3">
      <c r="A105" s="4" t="s">
        <v>118</v>
      </c>
      <c r="B105" s="4" t="s">
        <v>1182</v>
      </c>
      <c r="C105" s="4" t="s">
        <v>17</v>
      </c>
      <c r="D105" s="1">
        <v>44537</v>
      </c>
      <c r="E105" s="4">
        <v>229708516</v>
      </c>
      <c r="F105" s="1">
        <v>44584</v>
      </c>
      <c r="G105" s="3">
        <v>4709</v>
      </c>
      <c r="H105" s="2">
        <v>668.27</v>
      </c>
      <c r="I105" s="2">
        <v>502.54</v>
      </c>
      <c r="J105" s="2">
        <v>3146883.4299999997</v>
      </c>
      <c r="K105" s="2">
        <v>2366460.86</v>
      </c>
    </row>
    <row r="106" spans="1:11" x14ac:dyDescent="0.3">
      <c r="A106" s="4" t="s">
        <v>119</v>
      </c>
      <c r="B106" s="4" t="s">
        <v>1170</v>
      </c>
      <c r="C106" s="4" t="s">
        <v>14</v>
      </c>
      <c r="D106" s="1">
        <v>44565</v>
      </c>
      <c r="E106" s="4">
        <v>207990348</v>
      </c>
      <c r="F106" s="1">
        <v>44581</v>
      </c>
      <c r="G106" s="3">
        <v>7821</v>
      </c>
      <c r="H106" s="2">
        <v>47.45</v>
      </c>
      <c r="I106" s="2">
        <v>31.79</v>
      </c>
      <c r="J106" s="2">
        <v>371106.45</v>
      </c>
      <c r="K106" s="2">
        <v>248629.59</v>
      </c>
    </row>
    <row r="107" spans="1:11" x14ac:dyDescent="0.3">
      <c r="A107" s="4" t="s">
        <v>120</v>
      </c>
      <c r="B107" s="4" t="s">
        <v>1178</v>
      </c>
      <c r="C107" s="4" t="s">
        <v>12</v>
      </c>
      <c r="D107" s="1">
        <v>44762</v>
      </c>
      <c r="E107" s="4">
        <v>438916528</v>
      </c>
      <c r="F107" s="1">
        <v>44791</v>
      </c>
      <c r="G107" s="3">
        <v>4009</v>
      </c>
      <c r="H107" s="2">
        <v>154.06</v>
      </c>
      <c r="I107" s="2">
        <v>90.93</v>
      </c>
      <c r="J107" s="2">
        <v>617626.54</v>
      </c>
      <c r="K107" s="2">
        <v>364538.37000000005</v>
      </c>
    </row>
    <row r="108" spans="1:11" x14ac:dyDescent="0.3">
      <c r="A108" s="4" t="s">
        <v>121</v>
      </c>
      <c r="B108" s="4" t="s">
        <v>1168</v>
      </c>
      <c r="C108" s="4" t="s">
        <v>14</v>
      </c>
      <c r="D108" s="1">
        <v>44042</v>
      </c>
      <c r="E108" s="4">
        <v>581910884</v>
      </c>
      <c r="F108" s="1">
        <v>44059</v>
      </c>
      <c r="G108" s="3">
        <v>9217</v>
      </c>
      <c r="H108" s="2">
        <v>255.28</v>
      </c>
      <c r="I108" s="2">
        <v>159.41999999999999</v>
      </c>
      <c r="J108" s="2">
        <v>2352915.7600000002</v>
      </c>
      <c r="K108" s="2">
        <v>1469374.14</v>
      </c>
    </row>
    <row r="109" spans="1:11" x14ac:dyDescent="0.3">
      <c r="A109" s="4" t="s">
        <v>122</v>
      </c>
      <c r="B109" s="4" t="s">
        <v>1162</v>
      </c>
      <c r="C109" s="4" t="s">
        <v>14</v>
      </c>
      <c r="D109" s="1">
        <v>44596</v>
      </c>
      <c r="E109" s="4">
        <v>816709744</v>
      </c>
      <c r="F109" s="1">
        <v>44621</v>
      </c>
      <c r="G109" s="3">
        <v>1417</v>
      </c>
      <c r="H109" s="2">
        <v>421.89</v>
      </c>
      <c r="I109" s="2">
        <v>364.69</v>
      </c>
      <c r="J109" s="2">
        <v>597818.13</v>
      </c>
      <c r="K109" s="2">
        <v>516765.73</v>
      </c>
    </row>
    <row r="110" spans="1:11" x14ac:dyDescent="0.3">
      <c r="A110" s="4" t="s">
        <v>123</v>
      </c>
      <c r="B110" s="4" t="s">
        <v>1182</v>
      </c>
      <c r="C110" s="4" t="s">
        <v>14</v>
      </c>
      <c r="D110" s="1">
        <v>44067</v>
      </c>
      <c r="E110" s="4">
        <v>493361937</v>
      </c>
      <c r="F110" s="1">
        <v>44103</v>
      </c>
      <c r="G110" s="3">
        <v>5616</v>
      </c>
      <c r="H110" s="2">
        <v>668.27</v>
      </c>
      <c r="I110" s="2">
        <v>502.54</v>
      </c>
      <c r="J110" s="2">
        <v>3753004.32</v>
      </c>
      <c r="K110" s="2">
        <v>2822264.64</v>
      </c>
    </row>
    <row r="111" spans="1:11" x14ac:dyDescent="0.3">
      <c r="A111" s="4" t="s">
        <v>124</v>
      </c>
      <c r="B111" s="4" t="s">
        <v>1168</v>
      </c>
      <c r="C111" s="4" t="s">
        <v>14</v>
      </c>
      <c r="D111" s="1">
        <v>44418</v>
      </c>
      <c r="E111" s="4">
        <v>382228791</v>
      </c>
      <c r="F111" s="1">
        <v>44465</v>
      </c>
      <c r="G111" s="3">
        <v>8848</v>
      </c>
      <c r="H111" s="2">
        <v>255.28</v>
      </c>
      <c r="I111" s="2">
        <v>159.41999999999999</v>
      </c>
      <c r="J111" s="2">
        <v>2258717.44</v>
      </c>
      <c r="K111" s="2">
        <v>1410548.16</v>
      </c>
    </row>
    <row r="112" spans="1:11" x14ac:dyDescent="0.3">
      <c r="A112" s="4" t="s">
        <v>125</v>
      </c>
      <c r="B112" s="4" t="s">
        <v>1172</v>
      </c>
      <c r="C112" s="4" t="s">
        <v>17</v>
      </c>
      <c r="D112" s="1">
        <v>44106</v>
      </c>
      <c r="E112" s="4">
        <v>423984134</v>
      </c>
      <c r="F112" s="1">
        <v>44149</v>
      </c>
      <c r="G112" s="3">
        <v>5182</v>
      </c>
      <c r="H112" s="2">
        <v>437.2</v>
      </c>
      <c r="I112" s="2">
        <v>263.33</v>
      </c>
      <c r="J112" s="2">
        <v>2265570.4</v>
      </c>
      <c r="K112" s="2">
        <v>1364576.0599999998</v>
      </c>
    </row>
    <row r="113" spans="1:11" x14ac:dyDescent="0.3">
      <c r="A113" s="4" t="s">
        <v>126</v>
      </c>
      <c r="B113" s="4" t="s">
        <v>1162</v>
      </c>
      <c r="C113" s="4" t="s">
        <v>12</v>
      </c>
      <c r="D113" s="1">
        <v>44868</v>
      </c>
      <c r="E113" s="4">
        <v>179614293</v>
      </c>
      <c r="F113" s="1">
        <v>44888</v>
      </c>
      <c r="G113" s="3">
        <v>716</v>
      </c>
      <c r="H113" s="2">
        <v>421.89</v>
      </c>
      <c r="I113" s="2">
        <v>364.69</v>
      </c>
      <c r="J113" s="2">
        <v>302073.24</v>
      </c>
      <c r="K113" s="2">
        <v>261118.04</v>
      </c>
    </row>
    <row r="114" spans="1:11" x14ac:dyDescent="0.3">
      <c r="A114" s="4" t="s">
        <v>127</v>
      </c>
      <c r="B114" s="4" t="s">
        <v>1174</v>
      </c>
      <c r="C114" s="4" t="s">
        <v>19</v>
      </c>
      <c r="D114" s="1">
        <v>43887</v>
      </c>
      <c r="E114" s="4">
        <v>180418097</v>
      </c>
      <c r="F114" s="1">
        <v>43905</v>
      </c>
      <c r="G114" s="3">
        <v>8579</v>
      </c>
      <c r="H114" s="2">
        <v>81.73</v>
      </c>
      <c r="I114" s="2">
        <v>56.67</v>
      </c>
      <c r="J114" s="2">
        <v>701161.67</v>
      </c>
      <c r="K114" s="2">
        <v>486171.93</v>
      </c>
    </row>
    <row r="115" spans="1:11" x14ac:dyDescent="0.3">
      <c r="A115" s="4" t="s">
        <v>128</v>
      </c>
      <c r="B115" s="4" t="s">
        <v>1162</v>
      </c>
      <c r="C115" s="4" t="s">
        <v>14</v>
      </c>
      <c r="D115" s="1">
        <v>44759</v>
      </c>
      <c r="E115" s="4">
        <v>578006875</v>
      </c>
      <c r="F115" s="1">
        <v>44794</v>
      </c>
      <c r="G115" s="3">
        <v>3934</v>
      </c>
      <c r="H115" s="2">
        <v>421.89</v>
      </c>
      <c r="I115" s="2">
        <v>364.69</v>
      </c>
      <c r="J115" s="2">
        <v>1659715.26</v>
      </c>
      <c r="K115" s="2">
        <v>1434690.46</v>
      </c>
    </row>
    <row r="116" spans="1:11" x14ac:dyDescent="0.3">
      <c r="A116" s="4" t="s">
        <v>129</v>
      </c>
      <c r="B116" s="4" t="s">
        <v>1182</v>
      </c>
      <c r="C116" s="4" t="s">
        <v>14</v>
      </c>
      <c r="D116" s="1">
        <v>44440</v>
      </c>
      <c r="E116" s="4">
        <v>694304454</v>
      </c>
      <c r="F116" s="1">
        <v>44448</v>
      </c>
      <c r="G116" s="3">
        <v>8972</v>
      </c>
      <c r="H116" s="2">
        <v>668.27</v>
      </c>
      <c r="I116" s="2">
        <v>502.54</v>
      </c>
      <c r="J116" s="2">
        <v>5995718.4399999995</v>
      </c>
      <c r="K116" s="2">
        <v>4508788.88</v>
      </c>
    </row>
    <row r="117" spans="1:11" x14ac:dyDescent="0.3">
      <c r="A117" s="4" t="s">
        <v>130</v>
      </c>
      <c r="B117" s="4" t="s">
        <v>1168</v>
      </c>
      <c r="C117" s="4" t="s">
        <v>14</v>
      </c>
      <c r="D117" s="1">
        <v>44210</v>
      </c>
      <c r="E117" s="4">
        <v>371547162</v>
      </c>
      <c r="F117" s="1">
        <v>44250</v>
      </c>
      <c r="G117" s="3">
        <v>7917</v>
      </c>
      <c r="H117" s="2">
        <v>255.28</v>
      </c>
      <c r="I117" s="2">
        <v>159.41999999999999</v>
      </c>
      <c r="J117" s="2">
        <v>2021051.76</v>
      </c>
      <c r="K117" s="2">
        <v>1262128.1399999999</v>
      </c>
    </row>
    <row r="118" spans="1:11" x14ac:dyDescent="0.3">
      <c r="A118" s="4" t="s">
        <v>131</v>
      </c>
      <c r="B118" s="4" t="s">
        <v>1170</v>
      </c>
      <c r="C118" s="4" t="s">
        <v>19</v>
      </c>
      <c r="D118" s="1">
        <v>43927</v>
      </c>
      <c r="E118" s="4">
        <v>422283828</v>
      </c>
      <c r="F118" s="1">
        <v>43947</v>
      </c>
      <c r="G118" s="3">
        <v>2024</v>
      </c>
      <c r="H118" s="2">
        <v>47.45</v>
      </c>
      <c r="I118" s="2">
        <v>31.79</v>
      </c>
      <c r="J118" s="2">
        <v>96038.8</v>
      </c>
      <c r="K118" s="2">
        <v>64342.96</v>
      </c>
    </row>
    <row r="119" spans="1:11" x14ac:dyDescent="0.3">
      <c r="A119" s="4" t="s">
        <v>132</v>
      </c>
      <c r="B119" s="4" t="s">
        <v>1164</v>
      </c>
      <c r="C119" s="4" t="s">
        <v>12</v>
      </c>
      <c r="D119" s="1">
        <v>44643</v>
      </c>
      <c r="E119" s="4">
        <v>379375779</v>
      </c>
      <c r="F119" s="1">
        <v>44643</v>
      </c>
      <c r="G119" s="3">
        <v>4578</v>
      </c>
      <c r="H119" s="2">
        <v>205.7</v>
      </c>
      <c r="I119" s="2">
        <v>117.11</v>
      </c>
      <c r="J119" s="2">
        <v>941694.6</v>
      </c>
      <c r="K119" s="2">
        <v>536129.57999999996</v>
      </c>
    </row>
    <row r="120" spans="1:11" x14ac:dyDescent="0.3">
      <c r="A120" s="4" t="s">
        <v>133</v>
      </c>
      <c r="B120" s="4" t="s">
        <v>1174</v>
      </c>
      <c r="C120" s="4" t="s">
        <v>17</v>
      </c>
      <c r="D120" s="1">
        <v>43901</v>
      </c>
      <c r="E120" s="4">
        <v>745996844</v>
      </c>
      <c r="F120" s="1">
        <v>43924</v>
      </c>
      <c r="G120" s="3">
        <v>5899</v>
      </c>
      <c r="H120" s="2">
        <v>81.73</v>
      </c>
      <c r="I120" s="2">
        <v>56.67</v>
      </c>
      <c r="J120" s="2">
        <v>482125.27</v>
      </c>
      <c r="K120" s="2">
        <v>334296.33</v>
      </c>
    </row>
    <row r="121" spans="1:11" x14ac:dyDescent="0.3">
      <c r="A121" s="4" t="s">
        <v>134</v>
      </c>
      <c r="B121" s="4" t="s">
        <v>1166</v>
      </c>
      <c r="C121" s="4" t="s">
        <v>17</v>
      </c>
      <c r="D121" s="1">
        <v>44612</v>
      </c>
      <c r="E121" s="4">
        <v>745633351</v>
      </c>
      <c r="F121" s="1">
        <v>44654</v>
      </c>
      <c r="G121" s="3">
        <v>8333</v>
      </c>
      <c r="H121" s="2">
        <v>9.33</v>
      </c>
      <c r="I121" s="2">
        <v>6.92</v>
      </c>
      <c r="J121" s="2">
        <v>77746.89</v>
      </c>
      <c r="K121" s="2">
        <v>57664.36</v>
      </c>
    </row>
    <row r="122" spans="1:11" x14ac:dyDescent="0.3">
      <c r="A122" s="4" t="s">
        <v>135</v>
      </c>
      <c r="B122" s="4" t="s">
        <v>1160</v>
      </c>
      <c r="C122" s="4" t="s">
        <v>19</v>
      </c>
      <c r="D122" s="1">
        <v>44090</v>
      </c>
      <c r="E122" s="4">
        <v>572084128</v>
      </c>
      <c r="F122" s="1">
        <v>44140</v>
      </c>
      <c r="G122" s="3">
        <v>1261</v>
      </c>
      <c r="H122" s="2">
        <v>152.58000000000001</v>
      </c>
      <c r="I122" s="2">
        <v>97.44</v>
      </c>
      <c r="J122" s="2">
        <v>192403.38</v>
      </c>
      <c r="K122" s="2">
        <v>122871.84</v>
      </c>
    </row>
    <row r="123" spans="1:11" x14ac:dyDescent="0.3">
      <c r="A123" s="4" t="s">
        <v>136</v>
      </c>
      <c r="B123" s="4" t="s">
        <v>1170</v>
      </c>
      <c r="C123" s="4" t="s">
        <v>17</v>
      </c>
      <c r="D123" s="1">
        <v>43973</v>
      </c>
      <c r="E123" s="4">
        <v>939460504</v>
      </c>
      <c r="F123" s="1">
        <v>43975</v>
      </c>
      <c r="G123" s="3">
        <v>6095</v>
      </c>
      <c r="H123" s="2">
        <v>47.45</v>
      </c>
      <c r="I123" s="2">
        <v>31.79</v>
      </c>
      <c r="J123" s="2">
        <v>289207.75</v>
      </c>
      <c r="K123" s="2">
        <v>193760.05</v>
      </c>
    </row>
    <row r="124" spans="1:11" x14ac:dyDescent="0.3">
      <c r="A124" s="4" t="s">
        <v>137</v>
      </c>
      <c r="B124" s="4" t="s">
        <v>1166</v>
      </c>
      <c r="C124" s="4" t="s">
        <v>14</v>
      </c>
      <c r="D124" s="1">
        <v>44481</v>
      </c>
      <c r="E124" s="4">
        <v>832186305</v>
      </c>
      <c r="F124" s="1">
        <v>44526</v>
      </c>
      <c r="G124" s="3">
        <v>1276</v>
      </c>
      <c r="H124" s="2">
        <v>9.33</v>
      </c>
      <c r="I124" s="2">
        <v>6.92</v>
      </c>
      <c r="J124" s="2">
        <v>11905.08</v>
      </c>
      <c r="K124" s="2">
        <v>8829.92</v>
      </c>
    </row>
    <row r="125" spans="1:11" x14ac:dyDescent="0.3">
      <c r="A125" s="4" t="s">
        <v>138</v>
      </c>
      <c r="B125" s="4" t="s">
        <v>1166</v>
      </c>
      <c r="C125" s="4" t="s">
        <v>17</v>
      </c>
      <c r="D125" s="1">
        <v>43889</v>
      </c>
      <c r="E125" s="4">
        <v>654997861</v>
      </c>
      <c r="F125" s="1">
        <v>43923</v>
      </c>
      <c r="G125" s="3">
        <v>7277</v>
      </c>
      <c r="H125" s="2">
        <v>9.33</v>
      </c>
      <c r="I125" s="2">
        <v>6.92</v>
      </c>
      <c r="J125" s="2">
        <v>67894.41</v>
      </c>
      <c r="K125" s="2">
        <v>50356.84</v>
      </c>
    </row>
    <row r="126" spans="1:11" x14ac:dyDescent="0.3">
      <c r="A126" s="4" t="s">
        <v>139</v>
      </c>
      <c r="B126" s="4" t="s">
        <v>1162</v>
      </c>
      <c r="C126" s="4" t="s">
        <v>17</v>
      </c>
      <c r="D126" s="1">
        <v>44278</v>
      </c>
      <c r="E126" s="4">
        <v>882943999</v>
      </c>
      <c r="F126" s="1">
        <v>44293</v>
      </c>
      <c r="G126" s="3">
        <v>1605</v>
      </c>
      <c r="H126" s="2">
        <v>421.89</v>
      </c>
      <c r="I126" s="2">
        <v>364.69</v>
      </c>
      <c r="J126" s="2">
        <v>677133.45</v>
      </c>
      <c r="K126" s="2">
        <v>585327.44999999995</v>
      </c>
    </row>
    <row r="127" spans="1:11" x14ac:dyDescent="0.3">
      <c r="A127" s="4" t="s">
        <v>140</v>
      </c>
      <c r="B127" s="4" t="s">
        <v>1166</v>
      </c>
      <c r="C127" s="4" t="s">
        <v>17</v>
      </c>
      <c r="D127" s="1">
        <v>44739</v>
      </c>
      <c r="E127" s="4">
        <v>711386048</v>
      </c>
      <c r="F127" s="1">
        <v>44788</v>
      </c>
      <c r="G127" s="3">
        <v>3795</v>
      </c>
      <c r="H127" s="2">
        <v>9.33</v>
      </c>
      <c r="I127" s="2">
        <v>6.92</v>
      </c>
      <c r="J127" s="2">
        <v>35407.35</v>
      </c>
      <c r="K127" s="2">
        <v>26261.4</v>
      </c>
    </row>
    <row r="128" spans="1:11" x14ac:dyDescent="0.3">
      <c r="A128" s="4" t="s">
        <v>141</v>
      </c>
      <c r="B128" s="4" t="s">
        <v>1170</v>
      </c>
      <c r="C128" s="4" t="s">
        <v>17</v>
      </c>
      <c r="D128" s="1">
        <v>43991</v>
      </c>
      <c r="E128" s="4">
        <v>305997836</v>
      </c>
      <c r="F128" s="1">
        <v>44022</v>
      </c>
      <c r="G128" s="3">
        <v>415</v>
      </c>
      <c r="H128" s="2">
        <v>47.45</v>
      </c>
      <c r="I128" s="2">
        <v>31.79</v>
      </c>
      <c r="J128" s="2">
        <v>19691.75</v>
      </c>
      <c r="K128" s="2">
        <v>13192.85</v>
      </c>
    </row>
    <row r="129" spans="1:11" x14ac:dyDescent="0.3">
      <c r="A129" s="4" t="s">
        <v>142</v>
      </c>
      <c r="B129" s="4" t="s">
        <v>1162</v>
      </c>
      <c r="C129" s="4" t="s">
        <v>14</v>
      </c>
      <c r="D129" s="1">
        <v>44031</v>
      </c>
      <c r="E129" s="4">
        <v>352765691</v>
      </c>
      <c r="F129" s="1">
        <v>44054</v>
      </c>
      <c r="G129" s="3">
        <v>62</v>
      </c>
      <c r="H129" s="2">
        <v>421.89</v>
      </c>
      <c r="I129" s="2">
        <v>364.69</v>
      </c>
      <c r="J129" s="2">
        <v>26157.18</v>
      </c>
      <c r="K129" s="2">
        <v>22610.78</v>
      </c>
    </row>
    <row r="130" spans="1:11" x14ac:dyDescent="0.3">
      <c r="A130" s="4" t="s">
        <v>143</v>
      </c>
      <c r="B130" s="4" t="s">
        <v>1178</v>
      </c>
      <c r="C130" s="4" t="s">
        <v>12</v>
      </c>
      <c r="D130" s="1">
        <v>44392</v>
      </c>
      <c r="E130" s="4">
        <v>707988440</v>
      </c>
      <c r="F130" s="1">
        <v>44416</v>
      </c>
      <c r="G130" s="3">
        <v>8367</v>
      </c>
      <c r="H130" s="2">
        <v>154.06</v>
      </c>
      <c r="I130" s="2">
        <v>90.93</v>
      </c>
      <c r="J130" s="2">
        <v>1289020.02</v>
      </c>
      <c r="K130" s="2">
        <v>760811.31</v>
      </c>
    </row>
    <row r="131" spans="1:11" x14ac:dyDescent="0.3">
      <c r="A131" s="4" t="s">
        <v>144</v>
      </c>
      <c r="B131" s="4" t="s">
        <v>1178</v>
      </c>
      <c r="C131" s="4" t="s">
        <v>19</v>
      </c>
      <c r="D131" s="1">
        <v>44755</v>
      </c>
      <c r="E131" s="4">
        <v>848277413</v>
      </c>
      <c r="F131" s="1">
        <v>44802</v>
      </c>
      <c r="G131" s="3">
        <v>2992</v>
      </c>
      <c r="H131" s="2">
        <v>154.06</v>
      </c>
      <c r="I131" s="2">
        <v>90.93</v>
      </c>
      <c r="J131" s="2">
        <v>460947.52</v>
      </c>
      <c r="K131" s="2">
        <v>272062.56</v>
      </c>
    </row>
    <row r="132" spans="1:11" x14ac:dyDescent="0.3">
      <c r="A132" s="4" t="s">
        <v>145</v>
      </c>
      <c r="B132" s="4" t="s">
        <v>1182</v>
      </c>
      <c r="C132" s="4" t="s">
        <v>19</v>
      </c>
      <c r="D132" s="1">
        <v>44424</v>
      </c>
      <c r="E132" s="4">
        <v>320556437</v>
      </c>
      <c r="F132" s="1">
        <v>44464</v>
      </c>
      <c r="G132" s="3">
        <v>8628</v>
      </c>
      <c r="H132" s="2">
        <v>668.27</v>
      </c>
      <c r="I132" s="2">
        <v>502.54</v>
      </c>
      <c r="J132" s="2">
        <v>5765833.5599999996</v>
      </c>
      <c r="K132" s="2">
        <v>4335915.12</v>
      </c>
    </row>
    <row r="133" spans="1:11" x14ac:dyDescent="0.3">
      <c r="A133" s="4" t="s">
        <v>146</v>
      </c>
      <c r="B133" s="4" t="s">
        <v>1168</v>
      </c>
      <c r="C133" s="4" t="s">
        <v>14</v>
      </c>
      <c r="D133" s="1">
        <v>43896</v>
      </c>
      <c r="E133" s="4">
        <v>992061841</v>
      </c>
      <c r="F133" s="1">
        <v>43914</v>
      </c>
      <c r="G133" s="3">
        <v>1999</v>
      </c>
      <c r="H133" s="2">
        <v>255.28</v>
      </c>
      <c r="I133" s="2">
        <v>159.41999999999999</v>
      </c>
      <c r="J133" s="2">
        <v>510304.72000000003</v>
      </c>
      <c r="K133" s="2">
        <v>318680.57999999996</v>
      </c>
    </row>
    <row r="134" spans="1:11" x14ac:dyDescent="0.3">
      <c r="A134" s="4" t="s">
        <v>147</v>
      </c>
      <c r="B134" s="4" t="s">
        <v>1176</v>
      </c>
      <c r="C134" s="4" t="s">
        <v>19</v>
      </c>
      <c r="D134" s="1">
        <v>44336</v>
      </c>
      <c r="E134" s="4">
        <v>300342452</v>
      </c>
      <c r="F134" s="1">
        <v>44371</v>
      </c>
      <c r="G134" s="3">
        <v>6861</v>
      </c>
      <c r="H134" s="2">
        <v>651.21</v>
      </c>
      <c r="I134" s="2">
        <v>524.96</v>
      </c>
      <c r="J134" s="2">
        <v>4467951.8100000005</v>
      </c>
      <c r="K134" s="2">
        <v>3601750.56</v>
      </c>
    </row>
    <row r="135" spans="1:11" x14ac:dyDescent="0.3">
      <c r="A135" s="4" t="s">
        <v>148</v>
      </c>
      <c r="B135" s="4" t="s">
        <v>1178</v>
      </c>
      <c r="C135" s="4" t="s">
        <v>14</v>
      </c>
      <c r="D135" s="1">
        <v>43923</v>
      </c>
      <c r="E135" s="4">
        <v>703259599</v>
      </c>
      <c r="F135" s="1">
        <v>43926</v>
      </c>
      <c r="G135" s="3">
        <v>8998</v>
      </c>
      <c r="H135" s="2">
        <v>154.06</v>
      </c>
      <c r="I135" s="2">
        <v>90.93</v>
      </c>
      <c r="J135" s="2">
        <v>1386231.8800000001</v>
      </c>
      <c r="K135" s="2">
        <v>818188.14</v>
      </c>
    </row>
    <row r="136" spans="1:11" x14ac:dyDescent="0.3">
      <c r="A136" s="4" t="s">
        <v>149</v>
      </c>
      <c r="B136" s="4" t="s">
        <v>1180</v>
      </c>
      <c r="C136" s="4" t="s">
        <v>14</v>
      </c>
      <c r="D136" s="1">
        <v>44637</v>
      </c>
      <c r="E136" s="4">
        <v>228987109</v>
      </c>
      <c r="F136" s="1">
        <v>44665</v>
      </c>
      <c r="G136" s="3">
        <v>1229</v>
      </c>
      <c r="H136" s="2">
        <v>109.28</v>
      </c>
      <c r="I136" s="2">
        <v>35.840000000000003</v>
      </c>
      <c r="J136" s="2">
        <v>134305.12</v>
      </c>
      <c r="K136" s="2">
        <v>44047.360000000001</v>
      </c>
    </row>
    <row r="137" spans="1:11" x14ac:dyDescent="0.3">
      <c r="A137" s="4" t="s">
        <v>150</v>
      </c>
      <c r="B137" s="4" t="s">
        <v>1164</v>
      </c>
      <c r="C137" s="4" t="s">
        <v>12</v>
      </c>
      <c r="D137" s="1">
        <v>44430</v>
      </c>
      <c r="E137" s="4">
        <v>126011312</v>
      </c>
      <c r="F137" s="1">
        <v>44457</v>
      </c>
      <c r="G137" s="3">
        <v>8402</v>
      </c>
      <c r="H137" s="2">
        <v>205.7</v>
      </c>
      <c r="I137" s="2">
        <v>117.11</v>
      </c>
      <c r="J137" s="2">
        <v>1728291.4</v>
      </c>
      <c r="K137" s="2">
        <v>983958.22</v>
      </c>
    </row>
    <row r="138" spans="1:11" x14ac:dyDescent="0.3">
      <c r="A138" s="4" t="s">
        <v>151</v>
      </c>
      <c r="B138" s="4" t="s">
        <v>1170</v>
      </c>
      <c r="C138" s="4" t="s">
        <v>12</v>
      </c>
      <c r="D138" s="1">
        <v>44010</v>
      </c>
      <c r="E138" s="4">
        <v>813131034</v>
      </c>
      <c r="F138" s="1">
        <v>44013</v>
      </c>
      <c r="G138" s="3">
        <v>2397</v>
      </c>
      <c r="H138" s="2">
        <v>47.45</v>
      </c>
      <c r="I138" s="2">
        <v>31.79</v>
      </c>
      <c r="J138" s="2">
        <v>113737.65000000001</v>
      </c>
      <c r="K138" s="2">
        <v>76200.63</v>
      </c>
    </row>
    <row r="139" spans="1:11" x14ac:dyDescent="0.3">
      <c r="A139" s="4" t="s">
        <v>152</v>
      </c>
      <c r="B139" s="4" t="s">
        <v>1174</v>
      </c>
      <c r="C139" s="4" t="s">
        <v>12</v>
      </c>
      <c r="D139" s="1">
        <v>44232</v>
      </c>
      <c r="E139" s="4">
        <v>529457604</v>
      </c>
      <c r="F139" s="1">
        <v>44260</v>
      </c>
      <c r="G139" s="3">
        <v>7126</v>
      </c>
      <c r="H139" s="2">
        <v>81.73</v>
      </c>
      <c r="I139" s="2">
        <v>56.67</v>
      </c>
      <c r="J139" s="2">
        <v>582407.98</v>
      </c>
      <c r="K139" s="2">
        <v>403830.42</v>
      </c>
    </row>
    <row r="140" spans="1:11" x14ac:dyDescent="0.3">
      <c r="A140" s="4" t="s">
        <v>153</v>
      </c>
      <c r="B140" s="4" t="s">
        <v>1162</v>
      </c>
      <c r="C140" s="4" t="s">
        <v>19</v>
      </c>
      <c r="D140" s="1">
        <v>44532</v>
      </c>
      <c r="E140" s="4">
        <v>284414851</v>
      </c>
      <c r="F140" s="1">
        <v>44537</v>
      </c>
      <c r="G140" s="3">
        <v>3530</v>
      </c>
      <c r="H140" s="2">
        <v>421.89</v>
      </c>
      <c r="I140" s="2">
        <v>364.69</v>
      </c>
      <c r="J140" s="2">
        <v>1489271.7</v>
      </c>
      <c r="K140" s="2">
        <v>1287355.7</v>
      </c>
    </row>
    <row r="141" spans="1:11" x14ac:dyDescent="0.3">
      <c r="A141" s="4" t="s">
        <v>154</v>
      </c>
      <c r="B141" s="4" t="s">
        <v>1170</v>
      </c>
      <c r="C141" s="4" t="s">
        <v>12</v>
      </c>
      <c r="D141" s="1">
        <v>44491</v>
      </c>
      <c r="E141" s="4">
        <v>707739102</v>
      </c>
      <c r="F141" s="1">
        <v>44497</v>
      </c>
      <c r="G141" s="3">
        <v>4583</v>
      </c>
      <c r="H141" s="2">
        <v>47.45</v>
      </c>
      <c r="I141" s="2">
        <v>31.79</v>
      </c>
      <c r="J141" s="2">
        <v>217463.35</v>
      </c>
      <c r="K141" s="2">
        <v>145693.57</v>
      </c>
    </row>
    <row r="142" spans="1:11" x14ac:dyDescent="0.3">
      <c r="A142" s="4" t="s">
        <v>155</v>
      </c>
      <c r="B142" s="4" t="s">
        <v>1172</v>
      </c>
      <c r="C142" s="4" t="s">
        <v>17</v>
      </c>
      <c r="D142" s="1">
        <v>44362</v>
      </c>
      <c r="E142" s="4">
        <v>699479186</v>
      </c>
      <c r="F142" s="1">
        <v>44402</v>
      </c>
      <c r="G142" s="3">
        <v>290</v>
      </c>
      <c r="H142" s="2">
        <v>437.2</v>
      </c>
      <c r="I142" s="2">
        <v>263.33</v>
      </c>
      <c r="J142" s="2">
        <v>126788</v>
      </c>
      <c r="K142" s="2">
        <v>76365.7</v>
      </c>
    </row>
    <row r="143" spans="1:11" x14ac:dyDescent="0.3">
      <c r="A143" s="4" t="s">
        <v>156</v>
      </c>
      <c r="B143" s="4" t="s">
        <v>1164</v>
      </c>
      <c r="C143" s="4" t="s">
        <v>12</v>
      </c>
      <c r="D143" s="1">
        <v>44543</v>
      </c>
      <c r="E143" s="4">
        <v>579996430</v>
      </c>
      <c r="F143" s="1">
        <v>44570</v>
      </c>
      <c r="G143" s="3">
        <v>2687</v>
      </c>
      <c r="H143" s="2">
        <v>205.7</v>
      </c>
      <c r="I143" s="2">
        <v>117.11</v>
      </c>
      <c r="J143" s="2">
        <v>552715.9</v>
      </c>
      <c r="K143" s="2">
        <v>314674.57</v>
      </c>
    </row>
    <row r="144" spans="1:11" x14ac:dyDescent="0.3">
      <c r="A144" s="4" t="s">
        <v>157</v>
      </c>
      <c r="B144" s="4" t="s">
        <v>1164</v>
      </c>
      <c r="C144" s="4" t="s">
        <v>17</v>
      </c>
      <c r="D144" s="1">
        <v>44011</v>
      </c>
      <c r="E144" s="4">
        <v>739964663</v>
      </c>
      <c r="F144" s="1">
        <v>44039</v>
      </c>
      <c r="G144" s="3">
        <v>842</v>
      </c>
      <c r="H144" s="2">
        <v>205.7</v>
      </c>
      <c r="I144" s="2">
        <v>117.11</v>
      </c>
      <c r="J144" s="2">
        <v>173199.4</v>
      </c>
      <c r="K144" s="2">
        <v>98606.62</v>
      </c>
    </row>
    <row r="145" spans="1:11" x14ac:dyDescent="0.3">
      <c r="A145" s="4" t="s">
        <v>158</v>
      </c>
      <c r="B145" s="4" t="s">
        <v>1180</v>
      </c>
      <c r="C145" s="4" t="s">
        <v>17</v>
      </c>
      <c r="D145" s="1">
        <v>43982</v>
      </c>
      <c r="E145" s="4">
        <v>290370213</v>
      </c>
      <c r="F145" s="1">
        <v>43997</v>
      </c>
      <c r="G145" s="3">
        <v>5854</v>
      </c>
      <c r="H145" s="2">
        <v>109.28</v>
      </c>
      <c r="I145" s="2">
        <v>35.840000000000003</v>
      </c>
      <c r="J145" s="2">
        <v>639725.12</v>
      </c>
      <c r="K145" s="2">
        <v>209807.36000000002</v>
      </c>
    </row>
    <row r="146" spans="1:11" x14ac:dyDescent="0.3">
      <c r="A146" s="4" t="s">
        <v>159</v>
      </c>
      <c r="B146" s="4" t="s">
        <v>1166</v>
      </c>
      <c r="C146" s="4" t="s">
        <v>17</v>
      </c>
      <c r="D146" s="1">
        <v>44249</v>
      </c>
      <c r="E146" s="4">
        <v>212511909</v>
      </c>
      <c r="F146" s="1">
        <v>44249</v>
      </c>
      <c r="G146" s="3">
        <v>5851</v>
      </c>
      <c r="H146" s="2">
        <v>9.33</v>
      </c>
      <c r="I146" s="2">
        <v>6.92</v>
      </c>
      <c r="J146" s="2">
        <v>54589.83</v>
      </c>
      <c r="K146" s="2">
        <v>40488.92</v>
      </c>
    </row>
    <row r="147" spans="1:11" x14ac:dyDescent="0.3">
      <c r="A147" s="4" t="s">
        <v>160</v>
      </c>
      <c r="B147" s="4" t="s">
        <v>1166</v>
      </c>
      <c r="C147" s="4" t="s">
        <v>12</v>
      </c>
      <c r="D147" s="1">
        <v>44755</v>
      </c>
      <c r="E147" s="4">
        <v>208001077</v>
      </c>
      <c r="F147" s="1">
        <v>44764</v>
      </c>
      <c r="G147" s="3">
        <v>996</v>
      </c>
      <c r="H147" s="2">
        <v>9.33</v>
      </c>
      <c r="I147" s="2">
        <v>6.92</v>
      </c>
      <c r="J147" s="2">
        <v>9292.68</v>
      </c>
      <c r="K147" s="2">
        <v>6892.32</v>
      </c>
    </row>
    <row r="148" spans="1:11" x14ac:dyDescent="0.3">
      <c r="A148" s="4" t="s">
        <v>161</v>
      </c>
      <c r="B148" s="4" t="s">
        <v>1174</v>
      </c>
      <c r="C148" s="4" t="s">
        <v>14</v>
      </c>
      <c r="D148" s="1">
        <v>44021</v>
      </c>
      <c r="E148" s="4">
        <v>948761546</v>
      </c>
      <c r="F148" s="1">
        <v>44025</v>
      </c>
      <c r="G148" s="3">
        <v>8480</v>
      </c>
      <c r="H148" s="2">
        <v>81.73</v>
      </c>
      <c r="I148" s="2">
        <v>56.67</v>
      </c>
      <c r="J148" s="2">
        <v>693070.4</v>
      </c>
      <c r="K148" s="2">
        <v>480561.60000000003</v>
      </c>
    </row>
    <row r="149" spans="1:11" x14ac:dyDescent="0.3">
      <c r="A149" s="4" t="s">
        <v>162</v>
      </c>
      <c r="B149" s="4" t="s">
        <v>1160</v>
      </c>
      <c r="C149" s="4" t="s">
        <v>12</v>
      </c>
      <c r="D149" s="1">
        <v>43848</v>
      </c>
      <c r="E149" s="4">
        <v>927029645</v>
      </c>
      <c r="F149" s="1">
        <v>43859</v>
      </c>
      <c r="G149" s="3">
        <v>7527</v>
      </c>
      <c r="H149" s="2">
        <v>152.58000000000001</v>
      </c>
      <c r="I149" s="2">
        <v>97.44</v>
      </c>
      <c r="J149" s="2">
        <v>1148469.6600000001</v>
      </c>
      <c r="K149" s="2">
        <v>733430.88</v>
      </c>
    </row>
    <row r="150" spans="1:11" x14ac:dyDescent="0.3">
      <c r="A150" s="4" t="s">
        <v>163</v>
      </c>
      <c r="B150" s="4" t="s">
        <v>1174</v>
      </c>
      <c r="C150" s="4" t="s">
        <v>12</v>
      </c>
      <c r="D150" s="1">
        <v>44618</v>
      </c>
      <c r="E150" s="4">
        <v>505354201</v>
      </c>
      <c r="F150" s="1">
        <v>44663</v>
      </c>
      <c r="G150" s="3">
        <v>4393</v>
      </c>
      <c r="H150" s="2">
        <v>81.73</v>
      </c>
      <c r="I150" s="2">
        <v>56.67</v>
      </c>
      <c r="J150" s="2">
        <v>359039.89</v>
      </c>
      <c r="K150" s="2">
        <v>248951.31</v>
      </c>
    </row>
    <row r="151" spans="1:11" x14ac:dyDescent="0.3">
      <c r="A151" s="4" t="s">
        <v>164</v>
      </c>
      <c r="B151" s="4" t="s">
        <v>1166</v>
      </c>
      <c r="C151" s="4" t="s">
        <v>12</v>
      </c>
      <c r="D151" s="1">
        <v>44772</v>
      </c>
      <c r="E151" s="4">
        <v>566596543</v>
      </c>
      <c r="F151" s="1">
        <v>44805</v>
      </c>
      <c r="G151" s="3">
        <v>7363</v>
      </c>
      <c r="H151" s="2">
        <v>9.33</v>
      </c>
      <c r="I151" s="2">
        <v>6.92</v>
      </c>
      <c r="J151" s="2">
        <v>68696.789999999994</v>
      </c>
      <c r="K151" s="2">
        <v>50951.96</v>
      </c>
    </row>
    <row r="152" spans="1:11" x14ac:dyDescent="0.3">
      <c r="A152" s="4" t="s">
        <v>165</v>
      </c>
      <c r="B152" s="4" t="s">
        <v>1176</v>
      </c>
      <c r="C152" s="4" t="s">
        <v>12</v>
      </c>
      <c r="D152" s="1">
        <v>44463</v>
      </c>
      <c r="E152" s="4">
        <v>263930499</v>
      </c>
      <c r="F152" s="1">
        <v>44505</v>
      </c>
      <c r="G152" s="3">
        <v>1755</v>
      </c>
      <c r="H152" s="2">
        <v>651.21</v>
      </c>
      <c r="I152" s="2">
        <v>524.96</v>
      </c>
      <c r="J152" s="2">
        <v>1142873.55</v>
      </c>
      <c r="K152" s="2">
        <v>921304.8</v>
      </c>
    </row>
    <row r="153" spans="1:11" x14ac:dyDescent="0.3">
      <c r="A153" s="4" t="s">
        <v>166</v>
      </c>
      <c r="B153" s="4" t="s">
        <v>1166</v>
      </c>
      <c r="C153" s="4" t="s">
        <v>12</v>
      </c>
      <c r="D153" s="1">
        <v>43992</v>
      </c>
      <c r="E153" s="4">
        <v>170842397</v>
      </c>
      <c r="F153" s="1">
        <v>43992</v>
      </c>
      <c r="G153" s="3">
        <v>4917</v>
      </c>
      <c r="H153" s="2">
        <v>9.33</v>
      </c>
      <c r="I153" s="2">
        <v>6.92</v>
      </c>
      <c r="J153" s="2">
        <v>45875.61</v>
      </c>
      <c r="K153" s="2">
        <v>34025.64</v>
      </c>
    </row>
    <row r="154" spans="1:11" x14ac:dyDescent="0.3">
      <c r="A154" s="4" t="s">
        <v>167</v>
      </c>
      <c r="B154" s="4" t="s">
        <v>1166</v>
      </c>
      <c r="C154" s="4" t="s">
        <v>17</v>
      </c>
      <c r="D154" s="1">
        <v>44326</v>
      </c>
      <c r="E154" s="4">
        <v>931131064</v>
      </c>
      <c r="F154" s="1">
        <v>44354</v>
      </c>
      <c r="G154" s="3">
        <v>1229</v>
      </c>
      <c r="H154" s="2">
        <v>9.33</v>
      </c>
      <c r="I154" s="2">
        <v>6.92</v>
      </c>
      <c r="J154" s="2">
        <v>11466.57</v>
      </c>
      <c r="K154" s="2">
        <v>8504.68</v>
      </c>
    </row>
    <row r="155" spans="1:11" x14ac:dyDescent="0.3">
      <c r="A155" s="4" t="s">
        <v>168</v>
      </c>
      <c r="B155" s="4" t="s">
        <v>1166</v>
      </c>
      <c r="C155" s="4" t="s">
        <v>19</v>
      </c>
      <c r="D155" s="1">
        <v>44496</v>
      </c>
      <c r="E155" s="4">
        <v>108907830</v>
      </c>
      <c r="F155" s="1">
        <v>44500</v>
      </c>
      <c r="G155" s="3">
        <v>7102</v>
      </c>
      <c r="H155" s="2">
        <v>9.33</v>
      </c>
      <c r="I155" s="2">
        <v>6.92</v>
      </c>
      <c r="J155" s="2">
        <v>66261.66</v>
      </c>
      <c r="K155" s="2">
        <v>49145.84</v>
      </c>
    </row>
    <row r="156" spans="1:11" x14ac:dyDescent="0.3">
      <c r="A156" s="4" t="s">
        <v>169</v>
      </c>
      <c r="B156" s="4" t="s">
        <v>1182</v>
      </c>
      <c r="C156" s="4" t="s">
        <v>14</v>
      </c>
      <c r="D156" s="1">
        <v>44196</v>
      </c>
      <c r="E156" s="4">
        <v>738596522</v>
      </c>
      <c r="F156" s="1">
        <v>44245</v>
      </c>
      <c r="G156" s="3">
        <v>5979</v>
      </c>
      <c r="H156" s="2">
        <v>668.27</v>
      </c>
      <c r="I156" s="2">
        <v>502.54</v>
      </c>
      <c r="J156" s="2">
        <v>3995586.33</v>
      </c>
      <c r="K156" s="2">
        <v>3004686.66</v>
      </c>
    </row>
    <row r="157" spans="1:11" x14ac:dyDescent="0.3">
      <c r="A157" s="4" t="s">
        <v>170</v>
      </c>
      <c r="B157" s="4" t="s">
        <v>1176</v>
      </c>
      <c r="C157" s="4" t="s">
        <v>17</v>
      </c>
      <c r="D157" s="1">
        <v>44315</v>
      </c>
      <c r="E157" s="4">
        <v>974933469</v>
      </c>
      <c r="F157" s="1">
        <v>44359</v>
      </c>
      <c r="G157" s="3">
        <v>3333</v>
      </c>
      <c r="H157" s="2">
        <v>651.21</v>
      </c>
      <c r="I157" s="2">
        <v>524.96</v>
      </c>
      <c r="J157" s="2">
        <v>2170482.9300000002</v>
      </c>
      <c r="K157" s="2">
        <v>1749691.6800000002</v>
      </c>
    </row>
    <row r="158" spans="1:11" x14ac:dyDescent="0.3">
      <c r="A158" s="4" t="s">
        <v>171</v>
      </c>
      <c r="B158" s="4" t="s">
        <v>1176</v>
      </c>
      <c r="C158" s="4" t="s">
        <v>19</v>
      </c>
      <c r="D158" s="1">
        <v>44320</v>
      </c>
      <c r="E158" s="4">
        <v>842967498</v>
      </c>
      <c r="F158" s="1">
        <v>44330</v>
      </c>
      <c r="G158" s="3">
        <v>1670</v>
      </c>
      <c r="H158" s="2">
        <v>651.21</v>
      </c>
      <c r="I158" s="2">
        <v>524.96</v>
      </c>
      <c r="J158" s="2">
        <v>1087520.7</v>
      </c>
      <c r="K158" s="2">
        <v>876683.20000000007</v>
      </c>
    </row>
    <row r="159" spans="1:11" x14ac:dyDescent="0.3">
      <c r="A159" s="4" t="s">
        <v>172</v>
      </c>
      <c r="B159" s="4" t="s">
        <v>1174</v>
      </c>
      <c r="C159" s="4" t="s">
        <v>12</v>
      </c>
      <c r="D159" s="1">
        <v>44872</v>
      </c>
      <c r="E159" s="4">
        <v>888059937</v>
      </c>
      <c r="F159" s="1">
        <v>44905</v>
      </c>
      <c r="G159" s="3">
        <v>5525</v>
      </c>
      <c r="H159" s="2">
        <v>81.73</v>
      </c>
      <c r="I159" s="2">
        <v>56.67</v>
      </c>
      <c r="J159" s="2">
        <v>451558.25</v>
      </c>
      <c r="K159" s="2">
        <v>313101.75</v>
      </c>
    </row>
    <row r="160" spans="1:11" x14ac:dyDescent="0.3">
      <c r="A160" s="4" t="s">
        <v>173</v>
      </c>
      <c r="B160" s="4" t="s">
        <v>1182</v>
      </c>
      <c r="C160" s="4" t="s">
        <v>19</v>
      </c>
      <c r="D160" s="1">
        <v>44166</v>
      </c>
      <c r="E160" s="4">
        <v>825884616</v>
      </c>
      <c r="F160" s="1">
        <v>44199</v>
      </c>
      <c r="G160" s="3">
        <v>6466</v>
      </c>
      <c r="H160" s="2">
        <v>668.27</v>
      </c>
      <c r="I160" s="2">
        <v>502.54</v>
      </c>
      <c r="J160" s="2">
        <v>4321033.82</v>
      </c>
      <c r="K160" s="2">
        <v>3249423.64</v>
      </c>
    </row>
    <row r="161" spans="1:11" x14ac:dyDescent="0.3">
      <c r="A161" s="4" t="s">
        <v>174</v>
      </c>
      <c r="B161" s="4" t="s">
        <v>1176</v>
      </c>
      <c r="C161" s="4" t="s">
        <v>14</v>
      </c>
      <c r="D161" s="1">
        <v>44720</v>
      </c>
      <c r="E161" s="4">
        <v>892427861</v>
      </c>
      <c r="F161" s="1">
        <v>44767</v>
      </c>
      <c r="G161" s="3">
        <v>8091</v>
      </c>
      <c r="H161" s="2">
        <v>651.21</v>
      </c>
      <c r="I161" s="2">
        <v>524.96</v>
      </c>
      <c r="J161" s="2">
        <v>5268940.1100000003</v>
      </c>
      <c r="K161" s="2">
        <v>4247451.3600000003</v>
      </c>
    </row>
    <row r="162" spans="1:11" x14ac:dyDescent="0.3">
      <c r="A162" s="4" t="s">
        <v>175</v>
      </c>
      <c r="B162" s="4" t="s">
        <v>1176</v>
      </c>
      <c r="C162" s="4" t="s">
        <v>17</v>
      </c>
      <c r="D162" s="1">
        <v>44502</v>
      </c>
      <c r="E162" s="4">
        <v>493988502</v>
      </c>
      <c r="F162" s="1">
        <v>44551</v>
      </c>
      <c r="G162" s="3">
        <v>1030</v>
      </c>
      <c r="H162" s="2">
        <v>651.21</v>
      </c>
      <c r="I162" s="2">
        <v>524.96</v>
      </c>
      <c r="J162" s="2">
        <v>670746.30000000005</v>
      </c>
      <c r="K162" s="2">
        <v>540708.80000000005</v>
      </c>
    </row>
    <row r="163" spans="1:11" x14ac:dyDescent="0.3">
      <c r="A163" s="4" t="s">
        <v>176</v>
      </c>
      <c r="B163" s="4" t="s">
        <v>1178</v>
      </c>
      <c r="C163" s="4" t="s">
        <v>17</v>
      </c>
      <c r="D163" s="1">
        <v>44759</v>
      </c>
      <c r="E163" s="4">
        <v>457177865</v>
      </c>
      <c r="F163" s="1">
        <v>44784</v>
      </c>
      <c r="G163" s="3">
        <v>7945</v>
      </c>
      <c r="H163" s="2">
        <v>154.06</v>
      </c>
      <c r="I163" s="2">
        <v>90.93</v>
      </c>
      <c r="J163" s="2">
        <v>1224006.7</v>
      </c>
      <c r="K163" s="2">
        <v>722438.85000000009</v>
      </c>
    </row>
    <row r="164" spans="1:11" x14ac:dyDescent="0.3">
      <c r="A164" s="4" t="s">
        <v>177</v>
      </c>
      <c r="B164" s="4" t="s">
        <v>1162</v>
      </c>
      <c r="C164" s="4" t="s">
        <v>19</v>
      </c>
      <c r="D164" s="1">
        <v>44274</v>
      </c>
      <c r="E164" s="4">
        <v>778919780</v>
      </c>
      <c r="F164" s="1">
        <v>44275</v>
      </c>
      <c r="G164" s="3">
        <v>8527</v>
      </c>
      <c r="H164" s="2">
        <v>421.89</v>
      </c>
      <c r="I164" s="2">
        <v>364.69</v>
      </c>
      <c r="J164" s="2">
        <v>3597456.03</v>
      </c>
      <c r="K164" s="2">
        <v>3109711.63</v>
      </c>
    </row>
    <row r="165" spans="1:11" x14ac:dyDescent="0.3">
      <c r="A165" s="4" t="s">
        <v>178</v>
      </c>
      <c r="B165" s="4" t="s">
        <v>1176</v>
      </c>
      <c r="C165" s="4" t="s">
        <v>14</v>
      </c>
      <c r="D165" s="1">
        <v>44065</v>
      </c>
      <c r="E165" s="4">
        <v>176450574</v>
      </c>
      <c r="F165" s="1">
        <v>44082</v>
      </c>
      <c r="G165" s="3">
        <v>4501</v>
      </c>
      <c r="H165" s="2">
        <v>651.21</v>
      </c>
      <c r="I165" s="2">
        <v>524.96</v>
      </c>
      <c r="J165" s="2">
        <v>2931096.21</v>
      </c>
      <c r="K165" s="2">
        <v>2362844.96</v>
      </c>
    </row>
    <row r="166" spans="1:11" x14ac:dyDescent="0.3">
      <c r="A166" s="4" t="s">
        <v>179</v>
      </c>
      <c r="B166" s="4" t="s">
        <v>1162</v>
      </c>
      <c r="C166" s="4" t="s">
        <v>19</v>
      </c>
      <c r="D166" s="1">
        <v>44774</v>
      </c>
      <c r="E166" s="4">
        <v>137319076</v>
      </c>
      <c r="F166" s="1">
        <v>44824</v>
      </c>
      <c r="G166" s="3">
        <v>4621</v>
      </c>
      <c r="H166" s="2">
        <v>421.89</v>
      </c>
      <c r="I166" s="2">
        <v>364.69</v>
      </c>
      <c r="J166" s="2">
        <v>1949553.69</v>
      </c>
      <c r="K166" s="2">
        <v>1685232.49</v>
      </c>
    </row>
    <row r="167" spans="1:11" x14ac:dyDescent="0.3">
      <c r="A167" s="4" t="s">
        <v>180</v>
      </c>
      <c r="B167" s="4" t="s">
        <v>1180</v>
      </c>
      <c r="C167" s="4" t="s">
        <v>17</v>
      </c>
      <c r="D167" s="1">
        <v>44060</v>
      </c>
      <c r="E167" s="4">
        <v>869386613</v>
      </c>
      <c r="F167" s="1">
        <v>44099</v>
      </c>
      <c r="G167" s="3">
        <v>9673</v>
      </c>
      <c r="H167" s="2">
        <v>109.28</v>
      </c>
      <c r="I167" s="2">
        <v>35.840000000000003</v>
      </c>
      <c r="J167" s="2">
        <v>1057065.44</v>
      </c>
      <c r="K167" s="2">
        <v>346680.32000000001</v>
      </c>
    </row>
    <row r="168" spans="1:11" x14ac:dyDescent="0.3">
      <c r="A168" s="4" t="s">
        <v>181</v>
      </c>
      <c r="B168" s="4" t="s">
        <v>1162</v>
      </c>
      <c r="C168" s="4" t="s">
        <v>17</v>
      </c>
      <c r="D168" s="1">
        <v>44424</v>
      </c>
      <c r="E168" s="4">
        <v>850827014</v>
      </c>
      <c r="F168" s="1">
        <v>44437</v>
      </c>
      <c r="G168" s="3">
        <v>7476</v>
      </c>
      <c r="H168" s="2">
        <v>421.89</v>
      </c>
      <c r="I168" s="2">
        <v>364.69</v>
      </c>
      <c r="J168" s="2">
        <v>3154049.64</v>
      </c>
      <c r="K168" s="2">
        <v>2726422.44</v>
      </c>
    </row>
    <row r="169" spans="1:11" x14ac:dyDescent="0.3">
      <c r="A169" s="4" t="s">
        <v>182</v>
      </c>
      <c r="B169" s="4" t="s">
        <v>1160</v>
      </c>
      <c r="C169" s="4" t="s">
        <v>14</v>
      </c>
      <c r="D169" s="1">
        <v>44340</v>
      </c>
      <c r="E169" s="4">
        <v>880126607</v>
      </c>
      <c r="F169" s="1">
        <v>44354</v>
      </c>
      <c r="G169" s="3">
        <v>7876</v>
      </c>
      <c r="H169" s="2">
        <v>152.58000000000001</v>
      </c>
      <c r="I169" s="2">
        <v>97.44</v>
      </c>
      <c r="J169" s="2">
        <v>1201720.08</v>
      </c>
      <c r="K169" s="2">
        <v>767437.44</v>
      </c>
    </row>
    <row r="170" spans="1:11" x14ac:dyDescent="0.3">
      <c r="A170" s="4" t="s">
        <v>183</v>
      </c>
      <c r="B170" s="4" t="s">
        <v>1180</v>
      </c>
      <c r="C170" s="4" t="s">
        <v>19</v>
      </c>
      <c r="D170" s="1">
        <v>43994</v>
      </c>
      <c r="E170" s="4">
        <v>926084220</v>
      </c>
      <c r="F170" s="1">
        <v>44017</v>
      </c>
      <c r="G170" s="3">
        <v>7755</v>
      </c>
      <c r="H170" s="2">
        <v>109.28</v>
      </c>
      <c r="I170" s="2">
        <v>35.840000000000003</v>
      </c>
      <c r="J170" s="2">
        <v>847466.4</v>
      </c>
      <c r="K170" s="2">
        <v>277939.20000000001</v>
      </c>
    </row>
    <row r="171" spans="1:11" x14ac:dyDescent="0.3">
      <c r="A171" s="4" t="s">
        <v>33</v>
      </c>
      <c r="B171" s="4" t="s">
        <v>1164</v>
      </c>
      <c r="C171" s="4" t="s">
        <v>14</v>
      </c>
      <c r="D171" s="1">
        <v>44763</v>
      </c>
      <c r="E171" s="4">
        <v>577811181</v>
      </c>
      <c r="F171" s="1">
        <v>44796</v>
      </c>
      <c r="G171" s="3">
        <v>6024</v>
      </c>
      <c r="H171" s="2">
        <v>205.7</v>
      </c>
      <c r="I171" s="2">
        <v>117.11</v>
      </c>
      <c r="J171" s="2">
        <v>1239136.8</v>
      </c>
      <c r="K171" s="2">
        <v>705470.64</v>
      </c>
    </row>
    <row r="172" spans="1:11" x14ac:dyDescent="0.3">
      <c r="A172" s="4" t="s">
        <v>184</v>
      </c>
      <c r="B172" s="4" t="s">
        <v>1160</v>
      </c>
      <c r="C172" s="4" t="s">
        <v>14</v>
      </c>
      <c r="D172" s="1">
        <v>44517</v>
      </c>
      <c r="E172" s="4">
        <v>394731318</v>
      </c>
      <c r="F172" s="1">
        <v>44542</v>
      </c>
      <c r="G172" s="3">
        <v>8624</v>
      </c>
      <c r="H172" s="2">
        <v>152.58000000000001</v>
      </c>
      <c r="I172" s="2">
        <v>97.44</v>
      </c>
      <c r="J172" s="2">
        <v>1315849.9200000002</v>
      </c>
      <c r="K172" s="2">
        <v>840322.55999999994</v>
      </c>
    </row>
    <row r="173" spans="1:11" x14ac:dyDescent="0.3">
      <c r="A173" s="4" t="s">
        <v>185</v>
      </c>
      <c r="B173" s="4" t="s">
        <v>1182</v>
      </c>
      <c r="C173" s="4" t="s">
        <v>12</v>
      </c>
      <c r="D173" s="1">
        <v>44403</v>
      </c>
      <c r="E173" s="4">
        <v>556580960</v>
      </c>
      <c r="F173" s="1">
        <v>44448</v>
      </c>
      <c r="G173" s="3">
        <v>3529</v>
      </c>
      <c r="H173" s="2">
        <v>668.27</v>
      </c>
      <c r="I173" s="2">
        <v>502.54</v>
      </c>
      <c r="J173" s="2">
        <v>2358324.83</v>
      </c>
      <c r="K173" s="2">
        <v>1773463.6600000001</v>
      </c>
    </row>
    <row r="174" spans="1:11" x14ac:dyDescent="0.3">
      <c r="A174" s="4" t="s">
        <v>186</v>
      </c>
      <c r="B174" s="4" t="s">
        <v>1176</v>
      </c>
      <c r="C174" s="4" t="s">
        <v>12</v>
      </c>
      <c r="D174" s="1">
        <v>44152</v>
      </c>
      <c r="E174" s="4">
        <v>413408935</v>
      </c>
      <c r="F174" s="1">
        <v>44178</v>
      </c>
      <c r="G174" s="3">
        <v>5745</v>
      </c>
      <c r="H174" s="2">
        <v>651.21</v>
      </c>
      <c r="I174" s="2">
        <v>524.96</v>
      </c>
      <c r="J174" s="2">
        <v>3741201.45</v>
      </c>
      <c r="K174" s="2">
        <v>3015895.2</v>
      </c>
    </row>
    <row r="175" spans="1:11" x14ac:dyDescent="0.3">
      <c r="A175" s="4" t="s">
        <v>187</v>
      </c>
      <c r="B175" s="4" t="s">
        <v>1174</v>
      </c>
      <c r="C175" s="4" t="s">
        <v>12</v>
      </c>
      <c r="D175" s="1">
        <v>44684</v>
      </c>
      <c r="E175" s="4">
        <v>735576570</v>
      </c>
      <c r="F175" s="1">
        <v>44698</v>
      </c>
      <c r="G175" s="3">
        <v>2308</v>
      </c>
      <c r="H175" s="2">
        <v>81.73</v>
      </c>
      <c r="I175" s="2">
        <v>56.67</v>
      </c>
      <c r="J175" s="2">
        <v>188632.84</v>
      </c>
      <c r="K175" s="2">
        <v>130794.36</v>
      </c>
    </row>
    <row r="176" spans="1:11" x14ac:dyDescent="0.3">
      <c r="A176" s="4" t="s">
        <v>188</v>
      </c>
      <c r="B176" s="4" t="s">
        <v>1180</v>
      </c>
      <c r="C176" s="4" t="s">
        <v>19</v>
      </c>
      <c r="D176" s="1">
        <v>44455</v>
      </c>
      <c r="E176" s="4">
        <v>563757693</v>
      </c>
      <c r="F176" s="1">
        <v>44501</v>
      </c>
      <c r="G176" s="3">
        <v>7284</v>
      </c>
      <c r="H176" s="2">
        <v>109.28</v>
      </c>
      <c r="I176" s="2">
        <v>35.840000000000003</v>
      </c>
      <c r="J176" s="2">
        <v>795995.52</v>
      </c>
      <c r="K176" s="2">
        <v>261058.56000000003</v>
      </c>
    </row>
    <row r="177" spans="1:11" x14ac:dyDescent="0.3">
      <c r="A177" s="4" t="s">
        <v>189</v>
      </c>
      <c r="B177" s="4" t="s">
        <v>1178</v>
      </c>
      <c r="C177" s="4" t="s">
        <v>17</v>
      </c>
      <c r="D177" s="1">
        <v>44157</v>
      </c>
      <c r="E177" s="4">
        <v>358938634</v>
      </c>
      <c r="F177" s="1">
        <v>44174</v>
      </c>
      <c r="G177" s="3">
        <v>6773</v>
      </c>
      <c r="H177" s="2">
        <v>154.06</v>
      </c>
      <c r="I177" s="2">
        <v>90.93</v>
      </c>
      <c r="J177" s="2">
        <v>1043448.38</v>
      </c>
      <c r="K177" s="2">
        <v>615868.89</v>
      </c>
    </row>
    <row r="178" spans="1:11" x14ac:dyDescent="0.3">
      <c r="A178" s="4" t="s">
        <v>190</v>
      </c>
      <c r="B178" s="4" t="s">
        <v>1160</v>
      </c>
      <c r="C178" s="4" t="s">
        <v>12</v>
      </c>
      <c r="D178" s="1">
        <v>44107</v>
      </c>
      <c r="E178" s="4">
        <v>652418220</v>
      </c>
      <c r="F178" s="1">
        <v>44123</v>
      </c>
      <c r="G178" s="3">
        <v>3904</v>
      </c>
      <c r="H178" s="2">
        <v>152.58000000000001</v>
      </c>
      <c r="I178" s="2">
        <v>97.44</v>
      </c>
      <c r="J178" s="2">
        <v>595672.32000000007</v>
      </c>
      <c r="K178" s="2">
        <v>380405.76000000001</v>
      </c>
    </row>
    <row r="179" spans="1:11" x14ac:dyDescent="0.3">
      <c r="A179" s="4" t="s">
        <v>191</v>
      </c>
      <c r="B179" s="4" t="s">
        <v>1176</v>
      </c>
      <c r="C179" s="4" t="s">
        <v>12</v>
      </c>
      <c r="D179" s="1">
        <v>44768</v>
      </c>
      <c r="E179" s="4">
        <v>695807778</v>
      </c>
      <c r="F179" s="1">
        <v>44810</v>
      </c>
      <c r="G179" s="3">
        <v>3839</v>
      </c>
      <c r="H179" s="2">
        <v>651.21</v>
      </c>
      <c r="I179" s="2">
        <v>524.96</v>
      </c>
      <c r="J179" s="2">
        <v>2499995.19</v>
      </c>
      <c r="K179" s="2">
        <v>2015321.4400000002</v>
      </c>
    </row>
    <row r="180" spans="1:11" x14ac:dyDescent="0.3">
      <c r="A180" s="4" t="s">
        <v>192</v>
      </c>
      <c r="B180" s="4" t="s">
        <v>1176</v>
      </c>
      <c r="C180" s="4" t="s">
        <v>12</v>
      </c>
      <c r="D180" s="1">
        <v>44140</v>
      </c>
      <c r="E180" s="4">
        <v>711031138</v>
      </c>
      <c r="F180" s="1">
        <v>44172</v>
      </c>
      <c r="G180" s="3">
        <v>8769</v>
      </c>
      <c r="H180" s="2">
        <v>651.21</v>
      </c>
      <c r="I180" s="2">
        <v>524.96</v>
      </c>
      <c r="J180" s="2">
        <v>5710460.4900000002</v>
      </c>
      <c r="K180" s="2">
        <v>4603374.24</v>
      </c>
    </row>
    <row r="181" spans="1:11" x14ac:dyDescent="0.3">
      <c r="A181" s="4" t="s">
        <v>193</v>
      </c>
      <c r="B181" s="4" t="s">
        <v>1170</v>
      </c>
      <c r="C181" s="4" t="s">
        <v>14</v>
      </c>
      <c r="D181" s="1">
        <v>44547</v>
      </c>
      <c r="E181" s="4">
        <v>540324628</v>
      </c>
      <c r="F181" s="1">
        <v>44586</v>
      </c>
      <c r="G181" s="3">
        <v>2919</v>
      </c>
      <c r="H181" s="2">
        <v>47.45</v>
      </c>
      <c r="I181" s="2">
        <v>31.79</v>
      </c>
      <c r="J181" s="2">
        <v>138506.55000000002</v>
      </c>
      <c r="K181" s="2">
        <v>92795.01</v>
      </c>
    </row>
    <row r="182" spans="1:11" x14ac:dyDescent="0.3">
      <c r="A182" s="4" t="s">
        <v>194</v>
      </c>
      <c r="B182" s="4" t="s">
        <v>1164</v>
      </c>
      <c r="C182" s="4" t="s">
        <v>19</v>
      </c>
      <c r="D182" s="1">
        <v>44804</v>
      </c>
      <c r="E182" s="4">
        <v>996237075</v>
      </c>
      <c r="F182" s="1">
        <v>44804</v>
      </c>
      <c r="G182" s="3">
        <v>7544</v>
      </c>
      <c r="H182" s="2">
        <v>205.7</v>
      </c>
      <c r="I182" s="2">
        <v>117.11</v>
      </c>
      <c r="J182" s="2">
        <v>1551800.7999999998</v>
      </c>
      <c r="K182" s="2">
        <v>883477.84</v>
      </c>
    </row>
    <row r="183" spans="1:11" x14ac:dyDescent="0.3">
      <c r="A183" s="4" t="s">
        <v>195</v>
      </c>
      <c r="B183" s="4" t="s">
        <v>1180</v>
      </c>
      <c r="C183" s="4" t="s">
        <v>19</v>
      </c>
      <c r="D183" s="1">
        <v>43873</v>
      </c>
      <c r="E183" s="4">
        <v>711629807</v>
      </c>
      <c r="F183" s="1">
        <v>43895</v>
      </c>
      <c r="G183" s="3">
        <v>5929</v>
      </c>
      <c r="H183" s="2">
        <v>109.28</v>
      </c>
      <c r="I183" s="2">
        <v>35.840000000000003</v>
      </c>
      <c r="J183" s="2">
        <v>647921.12</v>
      </c>
      <c r="K183" s="2">
        <v>212495.36000000002</v>
      </c>
    </row>
    <row r="184" spans="1:11" x14ac:dyDescent="0.3">
      <c r="A184" s="4" t="s">
        <v>196</v>
      </c>
      <c r="B184" s="4" t="s">
        <v>1164</v>
      </c>
      <c r="C184" s="4" t="s">
        <v>14</v>
      </c>
      <c r="D184" s="1">
        <v>44519</v>
      </c>
      <c r="E184" s="4">
        <v>189676654</v>
      </c>
      <c r="F184" s="1">
        <v>44562</v>
      </c>
      <c r="G184" s="3">
        <v>8392</v>
      </c>
      <c r="H184" s="2">
        <v>205.7</v>
      </c>
      <c r="I184" s="2">
        <v>117.11</v>
      </c>
      <c r="J184" s="2">
        <v>1726234.4</v>
      </c>
      <c r="K184" s="2">
        <v>982787.12</v>
      </c>
    </row>
    <row r="185" spans="1:11" x14ac:dyDescent="0.3">
      <c r="A185" s="4" t="s">
        <v>197</v>
      </c>
      <c r="B185" s="4" t="s">
        <v>1182</v>
      </c>
      <c r="C185" s="4" t="s">
        <v>17</v>
      </c>
      <c r="D185" s="1">
        <v>44431</v>
      </c>
      <c r="E185" s="4">
        <v>453863942</v>
      </c>
      <c r="F185" s="1">
        <v>44448</v>
      </c>
      <c r="G185" s="3">
        <v>7281</v>
      </c>
      <c r="H185" s="2">
        <v>668.27</v>
      </c>
      <c r="I185" s="2">
        <v>502.54</v>
      </c>
      <c r="J185" s="2">
        <v>4865673.87</v>
      </c>
      <c r="K185" s="2">
        <v>3658993.74</v>
      </c>
    </row>
    <row r="186" spans="1:11" x14ac:dyDescent="0.3">
      <c r="A186" s="4" t="s">
        <v>198</v>
      </c>
      <c r="B186" s="4" t="s">
        <v>1176</v>
      </c>
      <c r="C186" s="4" t="s">
        <v>17</v>
      </c>
      <c r="D186" s="1">
        <v>44057</v>
      </c>
      <c r="E186" s="4">
        <v>797990500</v>
      </c>
      <c r="F186" s="1">
        <v>44096</v>
      </c>
      <c r="G186" s="3">
        <v>1977</v>
      </c>
      <c r="H186" s="2">
        <v>651.21</v>
      </c>
      <c r="I186" s="2">
        <v>524.96</v>
      </c>
      <c r="J186" s="2">
        <v>1287442.1700000002</v>
      </c>
      <c r="K186" s="2">
        <v>1037845.92</v>
      </c>
    </row>
    <row r="187" spans="1:11" x14ac:dyDescent="0.3">
      <c r="A187" s="4" t="s">
        <v>199</v>
      </c>
      <c r="B187" s="4" t="s">
        <v>1170</v>
      </c>
      <c r="C187" s="4" t="s">
        <v>14</v>
      </c>
      <c r="D187" s="1">
        <v>43990</v>
      </c>
      <c r="E187" s="4">
        <v>136167657</v>
      </c>
      <c r="F187" s="1">
        <v>44003</v>
      </c>
      <c r="G187" s="3">
        <v>3890</v>
      </c>
      <c r="H187" s="2">
        <v>47.45</v>
      </c>
      <c r="I187" s="2">
        <v>31.79</v>
      </c>
      <c r="J187" s="2">
        <v>184580.5</v>
      </c>
      <c r="K187" s="2">
        <v>123663.09999999999</v>
      </c>
    </row>
    <row r="188" spans="1:11" x14ac:dyDescent="0.3">
      <c r="A188" s="4" t="s">
        <v>200</v>
      </c>
      <c r="B188" s="4" t="s">
        <v>1170</v>
      </c>
      <c r="C188" s="4" t="s">
        <v>12</v>
      </c>
      <c r="D188" s="1">
        <v>44450</v>
      </c>
      <c r="E188" s="4">
        <v>152819240</v>
      </c>
      <c r="F188" s="1">
        <v>44485</v>
      </c>
      <c r="G188" s="3">
        <v>1464</v>
      </c>
      <c r="H188" s="2">
        <v>47.45</v>
      </c>
      <c r="I188" s="2">
        <v>31.79</v>
      </c>
      <c r="J188" s="2">
        <v>69466.8</v>
      </c>
      <c r="K188" s="2">
        <v>46540.56</v>
      </c>
    </row>
    <row r="189" spans="1:11" x14ac:dyDescent="0.3">
      <c r="A189" s="4" t="s">
        <v>201</v>
      </c>
      <c r="B189" s="4" t="s">
        <v>1160</v>
      </c>
      <c r="C189" s="4" t="s">
        <v>12</v>
      </c>
      <c r="D189" s="1">
        <v>44757</v>
      </c>
      <c r="E189" s="4">
        <v>352681577</v>
      </c>
      <c r="F189" s="1">
        <v>44767</v>
      </c>
      <c r="G189" s="3">
        <v>5171</v>
      </c>
      <c r="H189" s="2">
        <v>152.58000000000001</v>
      </c>
      <c r="I189" s="2">
        <v>97.44</v>
      </c>
      <c r="J189" s="2">
        <v>788991.18</v>
      </c>
      <c r="K189" s="2">
        <v>503862.24</v>
      </c>
    </row>
    <row r="190" spans="1:11" x14ac:dyDescent="0.3">
      <c r="A190" s="4" t="s">
        <v>202</v>
      </c>
      <c r="B190" s="4" t="s">
        <v>1164</v>
      </c>
      <c r="C190" s="4" t="s">
        <v>14</v>
      </c>
      <c r="D190" s="1">
        <v>43857</v>
      </c>
      <c r="E190" s="4">
        <v>310803496</v>
      </c>
      <c r="F190" s="1">
        <v>43894</v>
      </c>
      <c r="G190" s="3">
        <v>2516</v>
      </c>
      <c r="H190" s="2">
        <v>205.7</v>
      </c>
      <c r="I190" s="2">
        <v>117.11</v>
      </c>
      <c r="J190" s="2">
        <v>517541.19999999995</v>
      </c>
      <c r="K190" s="2">
        <v>294648.76</v>
      </c>
    </row>
    <row r="191" spans="1:11" x14ac:dyDescent="0.3">
      <c r="A191" s="4" t="s">
        <v>203</v>
      </c>
      <c r="B191" s="4" t="s">
        <v>1172</v>
      </c>
      <c r="C191" s="4" t="s">
        <v>17</v>
      </c>
      <c r="D191" s="1">
        <v>43977</v>
      </c>
      <c r="E191" s="4">
        <v>122546327</v>
      </c>
      <c r="F191" s="1">
        <v>44000</v>
      </c>
      <c r="G191" s="3">
        <v>3036</v>
      </c>
      <c r="H191" s="2">
        <v>437.2</v>
      </c>
      <c r="I191" s="2">
        <v>263.33</v>
      </c>
      <c r="J191" s="2">
        <v>1327339.2</v>
      </c>
      <c r="K191" s="2">
        <v>799469.88</v>
      </c>
    </row>
    <row r="192" spans="1:11" x14ac:dyDescent="0.3">
      <c r="A192" s="4" t="s">
        <v>204</v>
      </c>
      <c r="B192" s="4" t="s">
        <v>1166</v>
      </c>
      <c r="C192" s="4" t="s">
        <v>14</v>
      </c>
      <c r="D192" s="1">
        <v>43834</v>
      </c>
      <c r="E192" s="4">
        <v>853583896</v>
      </c>
      <c r="F192" s="1">
        <v>43850</v>
      </c>
      <c r="G192" s="3">
        <v>3298</v>
      </c>
      <c r="H192" s="2">
        <v>9.33</v>
      </c>
      <c r="I192" s="2">
        <v>6.92</v>
      </c>
      <c r="J192" s="2">
        <v>30770.34</v>
      </c>
      <c r="K192" s="2">
        <v>22822.16</v>
      </c>
    </row>
    <row r="193" spans="1:11" x14ac:dyDescent="0.3">
      <c r="A193" s="4" t="s">
        <v>205</v>
      </c>
      <c r="B193" s="4" t="s">
        <v>1174</v>
      </c>
      <c r="C193" s="4" t="s">
        <v>14</v>
      </c>
      <c r="D193" s="1">
        <v>44381</v>
      </c>
      <c r="E193" s="4">
        <v>489902532</v>
      </c>
      <c r="F193" s="1">
        <v>44408</v>
      </c>
      <c r="G193" s="3">
        <v>1901</v>
      </c>
      <c r="H193" s="2">
        <v>81.73</v>
      </c>
      <c r="I193" s="2">
        <v>56.67</v>
      </c>
      <c r="J193" s="2">
        <v>155368.73000000001</v>
      </c>
      <c r="K193" s="2">
        <v>107729.67</v>
      </c>
    </row>
    <row r="194" spans="1:11" x14ac:dyDescent="0.3">
      <c r="A194" s="4" t="s">
        <v>206</v>
      </c>
      <c r="B194" s="4" t="s">
        <v>1178</v>
      </c>
      <c r="C194" s="4" t="s">
        <v>19</v>
      </c>
      <c r="D194" s="1">
        <v>44106</v>
      </c>
      <c r="E194" s="4">
        <v>687801063</v>
      </c>
      <c r="F194" s="1">
        <v>44110</v>
      </c>
      <c r="G194" s="3">
        <v>4474</v>
      </c>
      <c r="H194" s="2">
        <v>154.06</v>
      </c>
      <c r="I194" s="2">
        <v>90.93</v>
      </c>
      <c r="J194" s="2">
        <v>689264.44000000006</v>
      </c>
      <c r="K194" s="2">
        <v>406820.82</v>
      </c>
    </row>
    <row r="195" spans="1:11" x14ac:dyDescent="0.3">
      <c r="A195" s="4" t="s">
        <v>207</v>
      </c>
      <c r="B195" s="4" t="s">
        <v>1162</v>
      </c>
      <c r="C195" s="4" t="s">
        <v>19</v>
      </c>
      <c r="D195" s="1">
        <v>44780</v>
      </c>
      <c r="E195" s="4">
        <v>923890817</v>
      </c>
      <c r="F195" s="1">
        <v>44790</v>
      </c>
      <c r="G195" s="3">
        <v>8678</v>
      </c>
      <c r="H195" s="2">
        <v>421.89</v>
      </c>
      <c r="I195" s="2">
        <v>364.69</v>
      </c>
      <c r="J195" s="2">
        <v>3661161.42</v>
      </c>
      <c r="K195" s="2">
        <v>3164779.82</v>
      </c>
    </row>
    <row r="196" spans="1:11" x14ac:dyDescent="0.3">
      <c r="A196" s="4" t="s">
        <v>208</v>
      </c>
      <c r="B196" s="4" t="s">
        <v>1166</v>
      </c>
      <c r="C196" s="4" t="s">
        <v>14</v>
      </c>
      <c r="D196" s="1">
        <v>44662</v>
      </c>
      <c r="E196" s="4">
        <v>745095622</v>
      </c>
      <c r="F196" s="1">
        <v>44708</v>
      </c>
      <c r="G196" s="3">
        <v>9207</v>
      </c>
      <c r="H196" s="2">
        <v>9.33</v>
      </c>
      <c r="I196" s="2">
        <v>6.92</v>
      </c>
      <c r="J196" s="2">
        <v>85901.31</v>
      </c>
      <c r="K196" s="2">
        <v>63712.44</v>
      </c>
    </row>
    <row r="197" spans="1:11" x14ac:dyDescent="0.3">
      <c r="A197" s="4" t="s">
        <v>209</v>
      </c>
      <c r="B197" s="4" t="s">
        <v>1172</v>
      </c>
      <c r="C197" s="4" t="s">
        <v>17</v>
      </c>
      <c r="D197" s="1">
        <v>44250</v>
      </c>
      <c r="E197" s="4">
        <v>218651807</v>
      </c>
      <c r="F197" s="1">
        <v>44274</v>
      </c>
      <c r="G197" s="3">
        <v>2783</v>
      </c>
      <c r="H197" s="2">
        <v>437.2</v>
      </c>
      <c r="I197" s="2">
        <v>263.33</v>
      </c>
      <c r="J197" s="2">
        <v>1216727.5999999999</v>
      </c>
      <c r="K197" s="2">
        <v>732847.3899999999</v>
      </c>
    </row>
    <row r="198" spans="1:11" x14ac:dyDescent="0.3">
      <c r="A198" s="4" t="s">
        <v>210</v>
      </c>
      <c r="B198" s="4" t="s">
        <v>1178</v>
      </c>
      <c r="C198" s="4" t="s">
        <v>19</v>
      </c>
      <c r="D198" s="1">
        <v>44707</v>
      </c>
      <c r="E198" s="4">
        <v>382108199</v>
      </c>
      <c r="F198" s="1">
        <v>44755</v>
      </c>
      <c r="G198" s="3">
        <v>3162</v>
      </c>
      <c r="H198" s="2">
        <v>154.06</v>
      </c>
      <c r="I198" s="2">
        <v>90.93</v>
      </c>
      <c r="J198" s="2">
        <v>487137.72000000003</v>
      </c>
      <c r="K198" s="2">
        <v>287520.66000000003</v>
      </c>
    </row>
    <row r="199" spans="1:11" x14ac:dyDescent="0.3">
      <c r="A199" s="4" t="s">
        <v>211</v>
      </c>
      <c r="B199" s="4" t="s">
        <v>1176</v>
      </c>
      <c r="C199" s="4" t="s">
        <v>17</v>
      </c>
      <c r="D199" s="1">
        <v>44213</v>
      </c>
      <c r="E199" s="4">
        <v>993326127</v>
      </c>
      <c r="F199" s="1">
        <v>44245</v>
      </c>
      <c r="G199" s="3">
        <v>6130</v>
      </c>
      <c r="H199" s="2">
        <v>651.21</v>
      </c>
      <c r="I199" s="2">
        <v>524.96</v>
      </c>
      <c r="J199" s="2">
        <v>3991917.3000000003</v>
      </c>
      <c r="K199" s="2">
        <v>3218004.8000000003</v>
      </c>
    </row>
    <row r="200" spans="1:11" x14ac:dyDescent="0.3">
      <c r="A200" s="4" t="s">
        <v>212</v>
      </c>
      <c r="B200" s="4" t="s">
        <v>1164</v>
      </c>
      <c r="C200" s="4" t="s">
        <v>17</v>
      </c>
      <c r="D200" s="1">
        <v>44749</v>
      </c>
      <c r="E200" s="4">
        <v>980479419</v>
      </c>
      <c r="F200" s="1">
        <v>44779</v>
      </c>
      <c r="G200" s="3">
        <v>4503</v>
      </c>
      <c r="H200" s="2">
        <v>205.7</v>
      </c>
      <c r="I200" s="2">
        <v>117.11</v>
      </c>
      <c r="J200" s="2">
        <v>926267.1</v>
      </c>
      <c r="K200" s="2">
        <v>527346.32999999996</v>
      </c>
    </row>
    <row r="201" spans="1:11" x14ac:dyDescent="0.3">
      <c r="A201" s="4" t="s">
        <v>213</v>
      </c>
      <c r="B201" s="4" t="s">
        <v>1160</v>
      </c>
      <c r="C201" s="4" t="s">
        <v>12</v>
      </c>
      <c r="D201" s="1">
        <v>44266</v>
      </c>
      <c r="E201" s="4">
        <v>692054402</v>
      </c>
      <c r="F201" s="1">
        <v>44275</v>
      </c>
      <c r="G201" s="3">
        <v>3131</v>
      </c>
      <c r="H201" s="2">
        <v>152.58000000000001</v>
      </c>
      <c r="I201" s="2">
        <v>97.44</v>
      </c>
      <c r="J201" s="2">
        <v>477727.98000000004</v>
      </c>
      <c r="K201" s="2">
        <v>305084.64</v>
      </c>
    </row>
    <row r="202" spans="1:11" x14ac:dyDescent="0.3">
      <c r="A202" s="4" t="s">
        <v>214</v>
      </c>
      <c r="B202" s="4" t="s">
        <v>1178</v>
      </c>
      <c r="C202" s="4" t="s">
        <v>12</v>
      </c>
      <c r="D202" s="1">
        <v>44516</v>
      </c>
      <c r="E202" s="4">
        <v>546849906</v>
      </c>
      <c r="F202" s="1">
        <v>44541</v>
      </c>
      <c r="G202" s="3">
        <v>3894</v>
      </c>
      <c r="H202" s="2">
        <v>154.06</v>
      </c>
      <c r="I202" s="2">
        <v>90.93</v>
      </c>
      <c r="J202" s="2">
        <v>599909.64</v>
      </c>
      <c r="K202" s="2">
        <v>354081.42000000004</v>
      </c>
    </row>
    <row r="203" spans="1:11" x14ac:dyDescent="0.3">
      <c r="A203" s="4" t="s">
        <v>215</v>
      </c>
      <c r="B203" s="4" t="s">
        <v>1170</v>
      </c>
      <c r="C203" s="4" t="s">
        <v>17</v>
      </c>
      <c r="D203" s="1">
        <v>44266</v>
      </c>
      <c r="E203" s="4">
        <v>583977258</v>
      </c>
      <c r="F203" s="1">
        <v>44311</v>
      </c>
      <c r="G203" s="3">
        <v>703</v>
      </c>
      <c r="H203" s="2">
        <v>47.45</v>
      </c>
      <c r="I203" s="2">
        <v>31.79</v>
      </c>
      <c r="J203" s="2">
        <v>33357.35</v>
      </c>
      <c r="K203" s="2">
        <v>22348.37</v>
      </c>
    </row>
    <row r="204" spans="1:11" x14ac:dyDescent="0.3">
      <c r="A204" s="4" t="s">
        <v>216</v>
      </c>
      <c r="B204" s="4" t="s">
        <v>1168</v>
      </c>
      <c r="C204" s="4" t="s">
        <v>12</v>
      </c>
      <c r="D204" s="1">
        <v>43995</v>
      </c>
      <c r="E204" s="4">
        <v>912860286</v>
      </c>
      <c r="F204" s="1">
        <v>44022</v>
      </c>
      <c r="G204" s="3">
        <v>4499</v>
      </c>
      <c r="H204" s="2">
        <v>255.28</v>
      </c>
      <c r="I204" s="2">
        <v>159.41999999999999</v>
      </c>
      <c r="J204" s="2">
        <v>1148504.72</v>
      </c>
      <c r="K204" s="2">
        <v>717230.58</v>
      </c>
    </row>
    <row r="205" spans="1:11" x14ac:dyDescent="0.3">
      <c r="A205" s="4" t="s">
        <v>217</v>
      </c>
      <c r="B205" s="4" t="s">
        <v>1180</v>
      </c>
      <c r="C205" s="4" t="s">
        <v>19</v>
      </c>
      <c r="D205" s="1">
        <v>44331</v>
      </c>
      <c r="E205" s="4">
        <v>363235318</v>
      </c>
      <c r="F205" s="1">
        <v>44372</v>
      </c>
      <c r="G205" s="3">
        <v>8257</v>
      </c>
      <c r="H205" s="2">
        <v>109.28</v>
      </c>
      <c r="I205" s="2">
        <v>35.840000000000003</v>
      </c>
      <c r="J205" s="2">
        <v>902324.96</v>
      </c>
      <c r="K205" s="2">
        <v>295930.88</v>
      </c>
    </row>
    <row r="206" spans="1:11" x14ac:dyDescent="0.3">
      <c r="A206" s="4" t="s">
        <v>218</v>
      </c>
      <c r="B206" s="4" t="s">
        <v>1162</v>
      </c>
      <c r="C206" s="4" t="s">
        <v>14</v>
      </c>
      <c r="D206" s="1">
        <v>44480</v>
      </c>
      <c r="E206" s="4">
        <v>535151183</v>
      </c>
      <c r="F206" s="1">
        <v>44524</v>
      </c>
      <c r="G206" s="3">
        <v>1982</v>
      </c>
      <c r="H206" s="2">
        <v>421.89</v>
      </c>
      <c r="I206" s="2">
        <v>364.69</v>
      </c>
      <c r="J206" s="2">
        <v>836185.98</v>
      </c>
      <c r="K206" s="2">
        <v>722815.58</v>
      </c>
    </row>
    <row r="207" spans="1:11" x14ac:dyDescent="0.3">
      <c r="A207" s="4" t="s">
        <v>219</v>
      </c>
      <c r="B207" s="4" t="s">
        <v>1166</v>
      </c>
      <c r="C207" s="4" t="s">
        <v>14</v>
      </c>
      <c r="D207" s="1">
        <v>44841</v>
      </c>
      <c r="E207" s="4">
        <v>848969209</v>
      </c>
      <c r="F207" s="1">
        <v>44849</v>
      </c>
      <c r="G207" s="3">
        <v>7710</v>
      </c>
      <c r="H207" s="2">
        <v>9.33</v>
      </c>
      <c r="I207" s="2">
        <v>6.92</v>
      </c>
      <c r="J207" s="2">
        <v>71934.3</v>
      </c>
      <c r="K207" s="2">
        <v>53353.2</v>
      </c>
    </row>
    <row r="208" spans="1:11" x14ac:dyDescent="0.3">
      <c r="A208" s="4" t="s">
        <v>220</v>
      </c>
      <c r="B208" s="4" t="s">
        <v>1166</v>
      </c>
      <c r="C208" s="4" t="s">
        <v>12</v>
      </c>
      <c r="D208" s="1">
        <v>44392</v>
      </c>
      <c r="E208" s="4">
        <v>795363223</v>
      </c>
      <c r="F208" s="1">
        <v>44438</v>
      </c>
      <c r="G208" s="3">
        <v>4507</v>
      </c>
      <c r="H208" s="2">
        <v>9.33</v>
      </c>
      <c r="I208" s="2">
        <v>6.92</v>
      </c>
      <c r="J208" s="2">
        <v>42050.31</v>
      </c>
      <c r="K208" s="2">
        <v>31188.44</v>
      </c>
    </row>
    <row r="209" spans="1:11" x14ac:dyDescent="0.3">
      <c r="A209" s="4" t="s">
        <v>221</v>
      </c>
      <c r="B209" s="4" t="s">
        <v>1172</v>
      </c>
      <c r="C209" s="4" t="s">
        <v>12</v>
      </c>
      <c r="D209" s="1">
        <v>44348</v>
      </c>
      <c r="E209" s="4">
        <v>385319554</v>
      </c>
      <c r="F209" s="1">
        <v>44374</v>
      </c>
      <c r="G209" s="3">
        <v>3474</v>
      </c>
      <c r="H209" s="2">
        <v>437.2</v>
      </c>
      <c r="I209" s="2">
        <v>263.33</v>
      </c>
      <c r="J209" s="2">
        <v>1518832.8</v>
      </c>
      <c r="K209" s="2">
        <v>914808.41999999993</v>
      </c>
    </row>
    <row r="210" spans="1:11" x14ac:dyDescent="0.3">
      <c r="A210" s="4" t="s">
        <v>222</v>
      </c>
      <c r="B210" s="4" t="s">
        <v>1164</v>
      </c>
      <c r="C210" s="4" t="s">
        <v>14</v>
      </c>
      <c r="D210" s="1">
        <v>44502</v>
      </c>
      <c r="E210" s="4">
        <v>600137031</v>
      </c>
      <c r="F210" s="1">
        <v>44515</v>
      </c>
      <c r="G210" s="3">
        <v>2739</v>
      </c>
      <c r="H210" s="2">
        <v>205.7</v>
      </c>
      <c r="I210" s="2">
        <v>117.11</v>
      </c>
      <c r="J210" s="2">
        <v>563412.29999999993</v>
      </c>
      <c r="K210" s="2">
        <v>320764.28999999998</v>
      </c>
    </row>
    <row r="211" spans="1:11" x14ac:dyDescent="0.3">
      <c r="A211" s="4" t="s">
        <v>223</v>
      </c>
      <c r="B211" s="4" t="s">
        <v>1180</v>
      </c>
      <c r="C211" s="4" t="s">
        <v>14</v>
      </c>
      <c r="D211" s="1">
        <v>44797</v>
      </c>
      <c r="E211" s="4">
        <v>241426980</v>
      </c>
      <c r="F211" s="1">
        <v>44828</v>
      </c>
      <c r="G211" s="3">
        <v>2463</v>
      </c>
      <c r="H211" s="2">
        <v>109.28</v>
      </c>
      <c r="I211" s="2">
        <v>35.840000000000003</v>
      </c>
      <c r="J211" s="2">
        <v>269156.64</v>
      </c>
      <c r="K211" s="2">
        <v>88273.920000000013</v>
      </c>
    </row>
    <row r="212" spans="1:11" x14ac:dyDescent="0.3">
      <c r="A212" s="4" t="s">
        <v>224</v>
      </c>
      <c r="B212" s="4" t="s">
        <v>1168</v>
      </c>
      <c r="C212" s="4" t="s">
        <v>17</v>
      </c>
      <c r="D212" s="1">
        <v>44797</v>
      </c>
      <c r="E212" s="4">
        <v>881113231</v>
      </c>
      <c r="F212" s="1">
        <v>44839</v>
      </c>
      <c r="G212" s="3">
        <v>9840</v>
      </c>
      <c r="H212" s="2">
        <v>255.28</v>
      </c>
      <c r="I212" s="2">
        <v>159.41999999999999</v>
      </c>
      <c r="J212" s="2">
        <v>2511955.2000000002</v>
      </c>
      <c r="K212" s="2">
        <v>1568692.7999999998</v>
      </c>
    </row>
    <row r="213" spans="1:11" x14ac:dyDescent="0.3">
      <c r="A213" s="4" t="s">
        <v>225</v>
      </c>
      <c r="B213" s="4" t="s">
        <v>1166</v>
      </c>
      <c r="C213" s="4" t="s">
        <v>17</v>
      </c>
      <c r="D213" s="1">
        <v>44218</v>
      </c>
      <c r="E213" s="4">
        <v>111432111</v>
      </c>
      <c r="F213" s="1">
        <v>44241</v>
      </c>
      <c r="G213" s="3">
        <v>4093</v>
      </c>
      <c r="H213" s="2">
        <v>9.33</v>
      </c>
      <c r="I213" s="2">
        <v>6.92</v>
      </c>
      <c r="J213" s="2">
        <v>38187.69</v>
      </c>
      <c r="K213" s="2">
        <v>28323.56</v>
      </c>
    </row>
    <row r="214" spans="1:11" x14ac:dyDescent="0.3">
      <c r="A214" s="4" t="s">
        <v>226</v>
      </c>
      <c r="B214" s="4" t="s">
        <v>1178</v>
      </c>
      <c r="C214" s="4" t="s">
        <v>12</v>
      </c>
      <c r="D214" s="1">
        <v>44483</v>
      </c>
      <c r="E214" s="4">
        <v>994932448</v>
      </c>
      <c r="F214" s="1">
        <v>44523</v>
      </c>
      <c r="G214" s="3">
        <v>1476</v>
      </c>
      <c r="H214" s="2">
        <v>154.06</v>
      </c>
      <c r="I214" s="2">
        <v>90.93</v>
      </c>
      <c r="J214" s="2">
        <v>227392.56</v>
      </c>
      <c r="K214" s="2">
        <v>134212.68000000002</v>
      </c>
    </row>
    <row r="215" spans="1:11" x14ac:dyDescent="0.3">
      <c r="A215" s="4" t="s">
        <v>227</v>
      </c>
      <c r="B215" s="4" t="s">
        <v>1174</v>
      </c>
      <c r="C215" s="4" t="s">
        <v>12</v>
      </c>
      <c r="D215" s="1">
        <v>44035</v>
      </c>
      <c r="E215" s="4">
        <v>814475572</v>
      </c>
      <c r="F215" s="1">
        <v>44053</v>
      </c>
      <c r="G215" s="3">
        <v>276</v>
      </c>
      <c r="H215" s="2">
        <v>81.73</v>
      </c>
      <c r="I215" s="2">
        <v>56.67</v>
      </c>
      <c r="J215" s="2">
        <v>22557.48</v>
      </c>
      <c r="K215" s="2">
        <v>15640.92</v>
      </c>
    </row>
    <row r="216" spans="1:11" x14ac:dyDescent="0.3">
      <c r="A216" s="4" t="s">
        <v>228</v>
      </c>
      <c r="B216" s="4" t="s">
        <v>1162</v>
      </c>
      <c r="C216" s="4" t="s">
        <v>14</v>
      </c>
      <c r="D216" s="1">
        <v>44069</v>
      </c>
      <c r="E216" s="4">
        <v>523235309</v>
      </c>
      <c r="F216" s="1">
        <v>44094</v>
      </c>
      <c r="G216" s="3">
        <v>5810</v>
      </c>
      <c r="H216" s="2">
        <v>421.89</v>
      </c>
      <c r="I216" s="2">
        <v>364.69</v>
      </c>
      <c r="J216" s="2">
        <v>2451180.9</v>
      </c>
      <c r="K216" s="2">
        <v>2118848.9</v>
      </c>
    </row>
    <row r="217" spans="1:11" x14ac:dyDescent="0.3">
      <c r="A217" s="4" t="s">
        <v>229</v>
      </c>
      <c r="B217" s="4" t="s">
        <v>1178</v>
      </c>
      <c r="C217" s="4" t="s">
        <v>19</v>
      </c>
      <c r="D217" s="1">
        <v>43843</v>
      </c>
      <c r="E217" s="4">
        <v>694697988</v>
      </c>
      <c r="F217" s="1">
        <v>43884</v>
      </c>
      <c r="G217" s="3">
        <v>5427</v>
      </c>
      <c r="H217" s="2">
        <v>154.06</v>
      </c>
      <c r="I217" s="2">
        <v>90.93</v>
      </c>
      <c r="J217" s="2">
        <v>836083.62</v>
      </c>
      <c r="K217" s="2">
        <v>493477.11000000004</v>
      </c>
    </row>
    <row r="218" spans="1:11" x14ac:dyDescent="0.3">
      <c r="A218" s="4" t="s">
        <v>230</v>
      </c>
      <c r="B218" s="4" t="s">
        <v>1176</v>
      </c>
      <c r="C218" s="4" t="s">
        <v>19</v>
      </c>
      <c r="D218" s="1">
        <v>44326</v>
      </c>
      <c r="E218" s="4">
        <v>172662436</v>
      </c>
      <c r="F218" s="1">
        <v>44357</v>
      </c>
      <c r="G218" s="3">
        <v>3507</v>
      </c>
      <c r="H218" s="2">
        <v>651.21</v>
      </c>
      <c r="I218" s="2">
        <v>524.96</v>
      </c>
      <c r="J218" s="2">
        <v>2283793.4700000002</v>
      </c>
      <c r="K218" s="2">
        <v>1841034.7200000002</v>
      </c>
    </row>
    <row r="219" spans="1:11" x14ac:dyDescent="0.3">
      <c r="A219" s="4" t="s">
        <v>231</v>
      </c>
      <c r="B219" s="4" t="s">
        <v>1170</v>
      </c>
      <c r="C219" s="4" t="s">
        <v>19</v>
      </c>
      <c r="D219" s="1">
        <v>44545</v>
      </c>
      <c r="E219" s="4">
        <v>121239984</v>
      </c>
      <c r="F219" s="1">
        <v>44574</v>
      </c>
      <c r="G219" s="3">
        <v>6460</v>
      </c>
      <c r="H219" s="2">
        <v>47.45</v>
      </c>
      <c r="I219" s="2">
        <v>31.79</v>
      </c>
      <c r="J219" s="2">
        <v>306527</v>
      </c>
      <c r="K219" s="2">
        <v>205363.4</v>
      </c>
    </row>
    <row r="220" spans="1:11" x14ac:dyDescent="0.3">
      <c r="A220" s="4" t="s">
        <v>232</v>
      </c>
      <c r="B220" s="4" t="s">
        <v>1168</v>
      </c>
      <c r="C220" s="4" t="s">
        <v>19</v>
      </c>
      <c r="D220" s="1">
        <v>44198</v>
      </c>
      <c r="E220" s="4">
        <v>874854457</v>
      </c>
      <c r="F220" s="1">
        <v>44200</v>
      </c>
      <c r="G220" s="3">
        <v>7730</v>
      </c>
      <c r="H220" s="2">
        <v>255.28</v>
      </c>
      <c r="I220" s="2">
        <v>159.41999999999999</v>
      </c>
      <c r="J220" s="2">
        <v>1973314.4</v>
      </c>
      <c r="K220" s="2">
        <v>1232316.5999999999</v>
      </c>
    </row>
    <row r="221" spans="1:11" x14ac:dyDescent="0.3">
      <c r="A221" s="4" t="s">
        <v>233</v>
      </c>
      <c r="B221" s="4" t="s">
        <v>1162</v>
      </c>
      <c r="C221" s="4" t="s">
        <v>19</v>
      </c>
      <c r="D221" s="1">
        <v>44171</v>
      </c>
      <c r="E221" s="4">
        <v>588242185</v>
      </c>
      <c r="F221" s="1">
        <v>44206</v>
      </c>
      <c r="G221" s="3">
        <v>2789</v>
      </c>
      <c r="H221" s="2">
        <v>421.89</v>
      </c>
      <c r="I221" s="2">
        <v>364.69</v>
      </c>
      <c r="J221" s="2">
        <v>1176651.21</v>
      </c>
      <c r="K221" s="2">
        <v>1017120.41</v>
      </c>
    </row>
    <row r="222" spans="1:11" x14ac:dyDescent="0.3">
      <c r="A222" s="4" t="s">
        <v>234</v>
      </c>
      <c r="B222" s="4" t="s">
        <v>1174</v>
      </c>
      <c r="C222" s="4" t="s">
        <v>17</v>
      </c>
      <c r="D222" s="1">
        <v>43933</v>
      </c>
      <c r="E222" s="4">
        <v>186451995</v>
      </c>
      <c r="F222" s="1">
        <v>43980</v>
      </c>
      <c r="G222" s="3">
        <v>4144</v>
      </c>
      <c r="H222" s="2">
        <v>81.73</v>
      </c>
      <c r="I222" s="2">
        <v>56.67</v>
      </c>
      <c r="J222" s="2">
        <v>338689.12</v>
      </c>
      <c r="K222" s="2">
        <v>234840.48</v>
      </c>
    </row>
    <row r="223" spans="1:11" x14ac:dyDescent="0.3">
      <c r="A223" s="4" t="s">
        <v>235</v>
      </c>
      <c r="B223" s="4" t="s">
        <v>1168</v>
      </c>
      <c r="C223" s="4" t="s">
        <v>17</v>
      </c>
      <c r="D223" s="1">
        <v>44143</v>
      </c>
      <c r="E223" s="4">
        <v>214845216</v>
      </c>
      <c r="F223" s="1">
        <v>44164</v>
      </c>
      <c r="G223" s="3">
        <v>6329</v>
      </c>
      <c r="H223" s="2">
        <v>255.28</v>
      </c>
      <c r="I223" s="2">
        <v>159.41999999999999</v>
      </c>
      <c r="J223" s="2">
        <v>1615667.12</v>
      </c>
      <c r="K223" s="2">
        <v>1008969.1799999999</v>
      </c>
    </row>
    <row r="224" spans="1:11" x14ac:dyDescent="0.3">
      <c r="A224" s="4" t="s">
        <v>236</v>
      </c>
      <c r="B224" s="4" t="s">
        <v>1182</v>
      </c>
      <c r="C224" s="4" t="s">
        <v>17</v>
      </c>
      <c r="D224" s="1">
        <v>44041</v>
      </c>
      <c r="E224" s="4">
        <v>389095675</v>
      </c>
      <c r="F224" s="1">
        <v>44073</v>
      </c>
      <c r="G224" s="3">
        <v>912</v>
      </c>
      <c r="H224" s="2">
        <v>668.27</v>
      </c>
      <c r="I224" s="2">
        <v>502.54</v>
      </c>
      <c r="J224" s="2">
        <v>609462.24</v>
      </c>
      <c r="K224" s="2">
        <v>458316.48000000004</v>
      </c>
    </row>
    <row r="225" spans="1:11" x14ac:dyDescent="0.3">
      <c r="A225" s="4" t="s">
        <v>237</v>
      </c>
      <c r="B225" s="4" t="s">
        <v>1164</v>
      </c>
      <c r="C225" s="4" t="s">
        <v>17</v>
      </c>
      <c r="D225" s="1">
        <v>44058</v>
      </c>
      <c r="E225" s="4">
        <v>945189702</v>
      </c>
      <c r="F225" s="1">
        <v>44072</v>
      </c>
      <c r="G225" s="3">
        <v>1492</v>
      </c>
      <c r="H225" s="2">
        <v>205.7</v>
      </c>
      <c r="I225" s="2">
        <v>117.11</v>
      </c>
      <c r="J225" s="2">
        <v>306904.39999999997</v>
      </c>
      <c r="K225" s="2">
        <v>174728.12</v>
      </c>
    </row>
    <row r="226" spans="1:11" x14ac:dyDescent="0.3">
      <c r="A226" s="4" t="s">
        <v>238</v>
      </c>
      <c r="B226" s="4" t="s">
        <v>1164</v>
      </c>
      <c r="C226" s="4" t="s">
        <v>12</v>
      </c>
      <c r="D226" s="1">
        <v>44249</v>
      </c>
      <c r="E226" s="4">
        <v>389426124</v>
      </c>
      <c r="F226" s="1">
        <v>44291</v>
      </c>
      <c r="G226" s="3">
        <v>8699</v>
      </c>
      <c r="H226" s="2">
        <v>205.7</v>
      </c>
      <c r="I226" s="2">
        <v>117.11</v>
      </c>
      <c r="J226" s="2">
        <v>1789384.2999999998</v>
      </c>
      <c r="K226" s="2">
        <v>1018739.89</v>
      </c>
    </row>
    <row r="227" spans="1:11" x14ac:dyDescent="0.3">
      <c r="A227" s="4" t="s">
        <v>239</v>
      </c>
      <c r="B227" s="4" t="s">
        <v>1164</v>
      </c>
      <c r="C227" s="4" t="s">
        <v>19</v>
      </c>
      <c r="D227" s="1">
        <v>44817</v>
      </c>
      <c r="E227" s="4">
        <v>448416268</v>
      </c>
      <c r="F227" s="1">
        <v>44819</v>
      </c>
      <c r="G227" s="3">
        <v>5193</v>
      </c>
      <c r="H227" s="2">
        <v>205.7</v>
      </c>
      <c r="I227" s="2">
        <v>117.11</v>
      </c>
      <c r="J227" s="2">
        <v>1068200.0999999999</v>
      </c>
      <c r="K227" s="2">
        <v>608152.23</v>
      </c>
    </row>
    <row r="228" spans="1:11" x14ac:dyDescent="0.3">
      <c r="A228" s="4" t="s">
        <v>240</v>
      </c>
      <c r="B228" s="4" t="s">
        <v>1182</v>
      </c>
      <c r="C228" s="4" t="s">
        <v>17</v>
      </c>
      <c r="D228" s="1">
        <v>44545</v>
      </c>
      <c r="E228" s="4">
        <v>219083964</v>
      </c>
      <c r="F228" s="1">
        <v>44566</v>
      </c>
      <c r="G228" s="3">
        <v>668</v>
      </c>
      <c r="H228" s="2">
        <v>668.27</v>
      </c>
      <c r="I228" s="2">
        <v>502.54</v>
      </c>
      <c r="J228" s="2">
        <v>446404.36</v>
      </c>
      <c r="K228" s="2">
        <v>335696.72000000003</v>
      </c>
    </row>
    <row r="229" spans="1:11" x14ac:dyDescent="0.3">
      <c r="A229" s="4" t="s">
        <v>209</v>
      </c>
      <c r="B229" s="4" t="s">
        <v>1172</v>
      </c>
      <c r="C229" s="4" t="s">
        <v>14</v>
      </c>
      <c r="D229" s="1">
        <v>44451</v>
      </c>
      <c r="E229" s="4">
        <v>218665540</v>
      </c>
      <c r="F229" s="1">
        <v>44488</v>
      </c>
      <c r="G229" s="3">
        <v>6847</v>
      </c>
      <c r="H229" s="2">
        <v>437.2</v>
      </c>
      <c r="I229" s="2">
        <v>263.33</v>
      </c>
      <c r="J229" s="2">
        <v>2993508.4</v>
      </c>
      <c r="K229" s="2">
        <v>1803020.5099999998</v>
      </c>
    </row>
    <row r="230" spans="1:11" x14ac:dyDescent="0.3">
      <c r="A230" s="4" t="s">
        <v>241</v>
      </c>
      <c r="B230" s="4" t="s">
        <v>1164</v>
      </c>
      <c r="C230" s="4" t="s">
        <v>14</v>
      </c>
      <c r="D230" s="1">
        <v>44133</v>
      </c>
      <c r="E230" s="4">
        <v>134709823</v>
      </c>
      <c r="F230" s="1">
        <v>44160</v>
      </c>
      <c r="G230" s="3">
        <v>2485</v>
      </c>
      <c r="H230" s="2">
        <v>205.7</v>
      </c>
      <c r="I230" s="2">
        <v>117.11</v>
      </c>
      <c r="J230" s="2">
        <v>511164.5</v>
      </c>
      <c r="K230" s="2">
        <v>291018.34999999998</v>
      </c>
    </row>
    <row r="231" spans="1:11" x14ac:dyDescent="0.3">
      <c r="A231" s="4" t="s">
        <v>242</v>
      </c>
      <c r="B231" s="4" t="s">
        <v>1178</v>
      </c>
      <c r="C231" s="4" t="s">
        <v>14</v>
      </c>
      <c r="D231" s="1">
        <v>44382</v>
      </c>
      <c r="E231" s="4">
        <v>175078141</v>
      </c>
      <c r="F231" s="1">
        <v>44413</v>
      </c>
      <c r="G231" s="3">
        <v>8367</v>
      </c>
      <c r="H231" s="2">
        <v>154.06</v>
      </c>
      <c r="I231" s="2">
        <v>90.93</v>
      </c>
      <c r="J231" s="2">
        <v>1289020.02</v>
      </c>
      <c r="K231" s="2">
        <v>760811.31</v>
      </c>
    </row>
    <row r="232" spans="1:11" x14ac:dyDescent="0.3">
      <c r="A232" s="4" t="s">
        <v>243</v>
      </c>
      <c r="B232" s="4" t="s">
        <v>1176</v>
      </c>
      <c r="C232" s="4" t="s">
        <v>17</v>
      </c>
      <c r="D232" s="1">
        <v>44568</v>
      </c>
      <c r="E232" s="4">
        <v>617944324</v>
      </c>
      <c r="F232" s="1">
        <v>44596</v>
      </c>
      <c r="G232" s="3">
        <v>2312</v>
      </c>
      <c r="H232" s="2">
        <v>651.21</v>
      </c>
      <c r="I232" s="2">
        <v>524.96</v>
      </c>
      <c r="J232" s="2">
        <v>1505597.52</v>
      </c>
      <c r="K232" s="2">
        <v>1213707.52</v>
      </c>
    </row>
    <row r="233" spans="1:11" x14ac:dyDescent="0.3">
      <c r="A233" s="4" t="s">
        <v>244</v>
      </c>
      <c r="B233" s="4" t="s">
        <v>1172</v>
      </c>
      <c r="C233" s="4" t="s">
        <v>12</v>
      </c>
      <c r="D233" s="1">
        <v>44208</v>
      </c>
      <c r="E233" s="4">
        <v>461794698</v>
      </c>
      <c r="F233" s="1">
        <v>44218</v>
      </c>
      <c r="G233" s="3">
        <v>4168</v>
      </c>
      <c r="H233" s="2">
        <v>437.2</v>
      </c>
      <c r="I233" s="2">
        <v>263.33</v>
      </c>
      <c r="J233" s="2">
        <v>1822249.5999999999</v>
      </c>
      <c r="K233" s="2">
        <v>1097559.44</v>
      </c>
    </row>
    <row r="234" spans="1:11" x14ac:dyDescent="0.3">
      <c r="A234" s="4" t="s">
        <v>245</v>
      </c>
      <c r="B234" s="4" t="s">
        <v>1180</v>
      </c>
      <c r="C234" s="4" t="s">
        <v>14</v>
      </c>
      <c r="D234" s="1">
        <v>44532</v>
      </c>
      <c r="E234" s="4">
        <v>575428092</v>
      </c>
      <c r="F234" s="1">
        <v>44540</v>
      </c>
      <c r="G234" s="3">
        <v>815</v>
      </c>
      <c r="H234" s="2">
        <v>109.28</v>
      </c>
      <c r="I234" s="2">
        <v>35.840000000000003</v>
      </c>
      <c r="J234" s="2">
        <v>89063.2</v>
      </c>
      <c r="K234" s="2">
        <v>29209.600000000002</v>
      </c>
    </row>
    <row r="235" spans="1:11" x14ac:dyDescent="0.3">
      <c r="A235" s="4" t="s">
        <v>246</v>
      </c>
      <c r="B235" s="4" t="s">
        <v>1168</v>
      </c>
      <c r="C235" s="4" t="s">
        <v>19</v>
      </c>
      <c r="D235" s="1">
        <v>44829</v>
      </c>
      <c r="E235" s="4">
        <v>547955834</v>
      </c>
      <c r="F235" s="1">
        <v>44843</v>
      </c>
      <c r="G235" s="3">
        <v>1163</v>
      </c>
      <c r="H235" s="2">
        <v>255.28</v>
      </c>
      <c r="I235" s="2">
        <v>159.41999999999999</v>
      </c>
      <c r="J235" s="2">
        <v>296890.64</v>
      </c>
      <c r="K235" s="2">
        <v>185405.46</v>
      </c>
    </row>
    <row r="236" spans="1:11" x14ac:dyDescent="0.3">
      <c r="A236" s="4" t="s">
        <v>247</v>
      </c>
      <c r="B236" s="4" t="s">
        <v>1170</v>
      </c>
      <c r="C236" s="4" t="s">
        <v>19</v>
      </c>
      <c r="D236" s="1">
        <v>44013</v>
      </c>
      <c r="E236" s="4">
        <v>938801753</v>
      </c>
      <c r="F236" s="1">
        <v>44024</v>
      </c>
      <c r="G236" s="3">
        <v>1156</v>
      </c>
      <c r="H236" s="2">
        <v>47.45</v>
      </c>
      <c r="I236" s="2">
        <v>31.79</v>
      </c>
      <c r="J236" s="2">
        <v>54852.200000000004</v>
      </c>
      <c r="K236" s="2">
        <v>36749.24</v>
      </c>
    </row>
    <row r="237" spans="1:11" x14ac:dyDescent="0.3">
      <c r="A237" s="4" t="s">
        <v>248</v>
      </c>
      <c r="B237" s="4" t="s">
        <v>1164</v>
      </c>
      <c r="C237" s="4" t="s">
        <v>14</v>
      </c>
      <c r="D237" s="1">
        <v>44275</v>
      </c>
      <c r="E237" s="4">
        <v>127702176</v>
      </c>
      <c r="F237" s="1">
        <v>44318</v>
      </c>
      <c r="G237" s="3">
        <v>8767</v>
      </c>
      <c r="H237" s="2">
        <v>205.7</v>
      </c>
      <c r="I237" s="2">
        <v>117.11</v>
      </c>
      <c r="J237" s="2">
        <v>1803371.9</v>
      </c>
      <c r="K237" s="2">
        <v>1026703.37</v>
      </c>
    </row>
    <row r="238" spans="1:11" x14ac:dyDescent="0.3">
      <c r="A238" s="4" t="s">
        <v>249</v>
      </c>
      <c r="B238" s="4" t="s">
        <v>1176</v>
      </c>
      <c r="C238" s="4" t="s">
        <v>14</v>
      </c>
      <c r="D238" s="1">
        <v>44303</v>
      </c>
      <c r="E238" s="4">
        <v>164705932</v>
      </c>
      <c r="F238" s="1">
        <v>44347</v>
      </c>
      <c r="G238" s="3">
        <v>9000</v>
      </c>
      <c r="H238" s="2">
        <v>651.21</v>
      </c>
      <c r="I238" s="2">
        <v>524.96</v>
      </c>
      <c r="J238" s="2">
        <v>5860890</v>
      </c>
      <c r="K238" s="2">
        <v>4724640</v>
      </c>
    </row>
    <row r="239" spans="1:11" x14ac:dyDescent="0.3">
      <c r="A239" s="4" t="s">
        <v>250</v>
      </c>
      <c r="B239" s="4" t="s">
        <v>1178</v>
      </c>
      <c r="C239" s="4" t="s">
        <v>17</v>
      </c>
      <c r="D239" s="1">
        <v>43971</v>
      </c>
      <c r="E239" s="4">
        <v>920174348</v>
      </c>
      <c r="F239" s="1">
        <v>43981</v>
      </c>
      <c r="G239" s="3">
        <v>8893</v>
      </c>
      <c r="H239" s="2">
        <v>154.06</v>
      </c>
      <c r="I239" s="2">
        <v>90.93</v>
      </c>
      <c r="J239" s="2">
        <v>1370055.58</v>
      </c>
      <c r="K239" s="2">
        <v>808640.49000000011</v>
      </c>
    </row>
    <row r="240" spans="1:11" x14ac:dyDescent="0.3">
      <c r="A240" s="4" t="s">
        <v>251</v>
      </c>
      <c r="B240" s="4" t="s">
        <v>1162</v>
      </c>
      <c r="C240" s="4" t="s">
        <v>19</v>
      </c>
      <c r="D240" s="1">
        <v>44868</v>
      </c>
      <c r="E240" s="4">
        <v>534781253</v>
      </c>
      <c r="F240" s="1">
        <v>44895</v>
      </c>
      <c r="G240" s="3">
        <v>2512</v>
      </c>
      <c r="H240" s="2">
        <v>421.89</v>
      </c>
      <c r="I240" s="2">
        <v>364.69</v>
      </c>
      <c r="J240" s="2">
        <v>1059787.68</v>
      </c>
      <c r="K240" s="2">
        <v>916101.28</v>
      </c>
    </row>
    <row r="241" spans="1:11" x14ac:dyDescent="0.3">
      <c r="A241" s="4" t="s">
        <v>252</v>
      </c>
      <c r="B241" s="4" t="s">
        <v>1178</v>
      </c>
      <c r="C241" s="4" t="s">
        <v>17</v>
      </c>
      <c r="D241" s="1">
        <v>44555</v>
      </c>
      <c r="E241" s="4">
        <v>369512975</v>
      </c>
      <c r="F241" s="1">
        <v>44597</v>
      </c>
      <c r="G241" s="3">
        <v>5955</v>
      </c>
      <c r="H241" s="2">
        <v>154.06</v>
      </c>
      <c r="I241" s="2">
        <v>90.93</v>
      </c>
      <c r="J241" s="2">
        <v>917427.3</v>
      </c>
      <c r="K241" s="2">
        <v>541488.15</v>
      </c>
    </row>
    <row r="242" spans="1:11" x14ac:dyDescent="0.3">
      <c r="A242" s="4" t="s">
        <v>253</v>
      </c>
      <c r="B242" s="4" t="s">
        <v>1166</v>
      </c>
      <c r="C242" s="4" t="s">
        <v>12</v>
      </c>
      <c r="D242" s="1">
        <v>44392</v>
      </c>
      <c r="E242" s="4">
        <v>955668342</v>
      </c>
      <c r="F242" s="1">
        <v>44434</v>
      </c>
      <c r="G242" s="3">
        <v>2354</v>
      </c>
      <c r="H242" s="2">
        <v>9.33</v>
      </c>
      <c r="I242" s="2">
        <v>6.92</v>
      </c>
      <c r="J242" s="2">
        <v>21962.82</v>
      </c>
      <c r="K242" s="2">
        <v>16289.68</v>
      </c>
    </row>
    <row r="243" spans="1:11" x14ac:dyDescent="0.3">
      <c r="A243" s="4" t="s">
        <v>254</v>
      </c>
      <c r="B243" s="4" t="s">
        <v>1162</v>
      </c>
      <c r="C243" s="4" t="s">
        <v>12</v>
      </c>
      <c r="D243" s="1">
        <v>44842</v>
      </c>
      <c r="E243" s="4">
        <v>644858682</v>
      </c>
      <c r="F243" s="1">
        <v>44869</v>
      </c>
      <c r="G243" s="3">
        <v>6869</v>
      </c>
      <c r="H243" s="2">
        <v>421.89</v>
      </c>
      <c r="I243" s="2">
        <v>364.69</v>
      </c>
      <c r="J243" s="2">
        <v>2897962.4099999997</v>
      </c>
      <c r="K243" s="2">
        <v>2505055.61</v>
      </c>
    </row>
    <row r="244" spans="1:11" x14ac:dyDescent="0.3">
      <c r="A244" s="4" t="s">
        <v>255</v>
      </c>
      <c r="B244" s="4" t="s">
        <v>1178</v>
      </c>
      <c r="C244" s="4" t="s">
        <v>14</v>
      </c>
      <c r="D244" s="1">
        <v>43905</v>
      </c>
      <c r="E244" s="4">
        <v>559007823</v>
      </c>
      <c r="F244" s="1">
        <v>43939</v>
      </c>
      <c r="G244" s="3">
        <v>1692</v>
      </c>
      <c r="H244" s="2">
        <v>154.06</v>
      </c>
      <c r="I244" s="2">
        <v>90.93</v>
      </c>
      <c r="J244" s="2">
        <v>260669.52</v>
      </c>
      <c r="K244" s="2">
        <v>153853.56</v>
      </c>
    </row>
    <row r="245" spans="1:11" x14ac:dyDescent="0.3">
      <c r="A245" s="4" t="s">
        <v>193</v>
      </c>
      <c r="B245" s="4" t="s">
        <v>1170</v>
      </c>
      <c r="C245" s="4" t="s">
        <v>19</v>
      </c>
      <c r="D245" s="1">
        <v>43905</v>
      </c>
      <c r="E245" s="4">
        <v>540352094</v>
      </c>
      <c r="F245" s="1">
        <v>43920</v>
      </c>
      <c r="G245" s="3">
        <v>1047</v>
      </c>
      <c r="H245" s="2">
        <v>47.45</v>
      </c>
      <c r="I245" s="2">
        <v>31.79</v>
      </c>
      <c r="J245" s="2">
        <v>49680.15</v>
      </c>
      <c r="K245" s="2">
        <v>33284.129999999997</v>
      </c>
    </row>
    <row r="246" spans="1:11" x14ac:dyDescent="0.3">
      <c r="A246" s="4" t="s">
        <v>256</v>
      </c>
      <c r="B246" s="4" t="s">
        <v>1176</v>
      </c>
      <c r="C246" s="4" t="s">
        <v>12</v>
      </c>
      <c r="D246" s="1">
        <v>44701</v>
      </c>
      <c r="E246" s="4">
        <v>501440322</v>
      </c>
      <c r="F246" s="1">
        <v>44711</v>
      </c>
      <c r="G246" s="3">
        <v>6189</v>
      </c>
      <c r="H246" s="2">
        <v>651.21</v>
      </c>
      <c r="I246" s="2">
        <v>524.96</v>
      </c>
      <c r="J246" s="2">
        <v>4030338.6900000004</v>
      </c>
      <c r="K246" s="2">
        <v>3248977.4400000004</v>
      </c>
    </row>
    <row r="247" spans="1:11" x14ac:dyDescent="0.3">
      <c r="A247" s="4" t="s">
        <v>257</v>
      </c>
      <c r="B247" s="4" t="s">
        <v>1182</v>
      </c>
      <c r="C247" s="4" t="s">
        <v>12</v>
      </c>
      <c r="D247" s="1">
        <v>44212</v>
      </c>
      <c r="E247" s="4">
        <v>875133836</v>
      </c>
      <c r="F247" s="1">
        <v>44233</v>
      </c>
      <c r="G247" s="3">
        <v>404</v>
      </c>
      <c r="H247" s="2">
        <v>668.27</v>
      </c>
      <c r="I247" s="2">
        <v>502.54</v>
      </c>
      <c r="J247" s="2">
        <v>269981.08</v>
      </c>
      <c r="K247" s="2">
        <v>203026.16</v>
      </c>
    </row>
    <row r="248" spans="1:11" x14ac:dyDescent="0.3">
      <c r="A248" s="4" t="s">
        <v>258</v>
      </c>
      <c r="B248" s="4" t="s">
        <v>1180</v>
      </c>
      <c r="C248" s="4" t="s">
        <v>12</v>
      </c>
      <c r="D248" s="1">
        <v>44158</v>
      </c>
      <c r="E248" s="4">
        <v>364606463</v>
      </c>
      <c r="F248" s="1">
        <v>44198</v>
      </c>
      <c r="G248" s="3">
        <v>4010</v>
      </c>
      <c r="H248" s="2">
        <v>109.28</v>
      </c>
      <c r="I248" s="2">
        <v>35.840000000000003</v>
      </c>
      <c r="J248" s="2">
        <v>438212.8</v>
      </c>
      <c r="K248" s="2">
        <v>143718.40000000002</v>
      </c>
    </row>
    <row r="249" spans="1:11" x14ac:dyDescent="0.3">
      <c r="A249" s="4" t="s">
        <v>259</v>
      </c>
      <c r="B249" s="4" t="s">
        <v>1166</v>
      </c>
      <c r="C249" s="4" t="s">
        <v>17</v>
      </c>
      <c r="D249" s="1">
        <v>44316</v>
      </c>
      <c r="E249" s="4">
        <v>893344533</v>
      </c>
      <c r="F249" s="1">
        <v>44336</v>
      </c>
      <c r="G249" s="3">
        <v>9354</v>
      </c>
      <c r="H249" s="2">
        <v>9.33</v>
      </c>
      <c r="I249" s="2">
        <v>6.92</v>
      </c>
      <c r="J249" s="2">
        <v>87272.82</v>
      </c>
      <c r="K249" s="2">
        <v>64729.68</v>
      </c>
    </row>
    <row r="250" spans="1:11" x14ac:dyDescent="0.3">
      <c r="A250" s="4" t="s">
        <v>260</v>
      </c>
      <c r="B250" s="4" t="s">
        <v>1166</v>
      </c>
      <c r="C250" s="4" t="s">
        <v>12</v>
      </c>
      <c r="D250" s="1">
        <v>44089</v>
      </c>
      <c r="E250" s="4">
        <v>855146872</v>
      </c>
      <c r="F250" s="1">
        <v>44094</v>
      </c>
      <c r="G250" s="3">
        <v>5818</v>
      </c>
      <c r="H250" s="2">
        <v>9.33</v>
      </c>
      <c r="I250" s="2">
        <v>6.92</v>
      </c>
      <c r="J250" s="2">
        <v>54281.94</v>
      </c>
      <c r="K250" s="2">
        <v>40260.559999999998</v>
      </c>
    </row>
    <row r="251" spans="1:11" x14ac:dyDescent="0.3">
      <c r="A251" s="4" t="s">
        <v>261</v>
      </c>
      <c r="B251" s="4" t="s">
        <v>1172</v>
      </c>
      <c r="C251" s="4" t="s">
        <v>12</v>
      </c>
      <c r="D251" s="1">
        <v>44073</v>
      </c>
      <c r="E251" s="4">
        <v>964124810</v>
      </c>
      <c r="F251" s="1">
        <v>44074</v>
      </c>
      <c r="G251" s="3">
        <v>4811</v>
      </c>
      <c r="H251" s="2">
        <v>437.2</v>
      </c>
      <c r="I251" s="2">
        <v>263.33</v>
      </c>
      <c r="J251" s="2">
        <v>2103369.1999999997</v>
      </c>
      <c r="K251" s="2">
        <v>1266880.6299999999</v>
      </c>
    </row>
    <row r="252" spans="1:11" x14ac:dyDescent="0.3">
      <c r="A252" s="4" t="s">
        <v>262</v>
      </c>
      <c r="B252" s="4" t="s">
        <v>1160</v>
      </c>
      <c r="C252" s="4" t="s">
        <v>12</v>
      </c>
      <c r="D252" s="1">
        <v>44484</v>
      </c>
      <c r="E252" s="4">
        <v>204702174</v>
      </c>
      <c r="F252" s="1">
        <v>44486</v>
      </c>
      <c r="G252" s="3">
        <v>4777</v>
      </c>
      <c r="H252" s="2">
        <v>152.58000000000001</v>
      </c>
      <c r="I252" s="2">
        <v>97.44</v>
      </c>
      <c r="J252" s="2">
        <v>728874.66</v>
      </c>
      <c r="K252" s="2">
        <v>465470.88</v>
      </c>
    </row>
    <row r="253" spans="1:11" x14ac:dyDescent="0.3">
      <c r="A253" s="4" t="s">
        <v>263</v>
      </c>
      <c r="B253" s="4" t="s">
        <v>1162</v>
      </c>
      <c r="C253" s="4" t="s">
        <v>19</v>
      </c>
      <c r="D253" s="1">
        <v>44645</v>
      </c>
      <c r="E253" s="4">
        <v>781615293</v>
      </c>
      <c r="F253" s="1">
        <v>44661</v>
      </c>
      <c r="G253" s="3">
        <v>6189</v>
      </c>
      <c r="H253" s="2">
        <v>421.89</v>
      </c>
      <c r="I253" s="2">
        <v>364.69</v>
      </c>
      <c r="J253" s="2">
        <v>2611077.21</v>
      </c>
      <c r="K253" s="2">
        <v>2257066.41</v>
      </c>
    </row>
    <row r="254" spans="1:11" x14ac:dyDescent="0.3">
      <c r="A254" s="4" t="s">
        <v>264</v>
      </c>
      <c r="B254" s="4" t="s">
        <v>1170</v>
      </c>
      <c r="C254" s="4" t="s">
        <v>14</v>
      </c>
      <c r="D254" s="1">
        <v>44546</v>
      </c>
      <c r="E254" s="4">
        <v>469912993</v>
      </c>
      <c r="F254" s="1">
        <v>44583</v>
      </c>
      <c r="G254" s="3">
        <v>6552</v>
      </c>
      <c r="H254" s="2">
        <v>47.45</v>
      </c>
      <c r="I254" s="2">
        <v>31.79</v>
      </c>
      <c r="J254" s="2">
        <v>310892.40000000002</v>
      </c>
      <c r="K254" s="2">
        <v>208288.08</v>
      </c>
    </row>
    <row r="255" spans="1:11" x14ac:dyDescent="0.3">
      <c r="A255" s="4" t="s">
        <v>265</v>
      </c>
      <c r="B255" s="4" t="s">
        <v>1172</v>
      </c>
      <c r="C255" s="4" t="s">
        <v>12</v>
      </c>
      <c r="D255" s="1">
        <v>44325</v>
      </c>
      <c r="E255" s="4">
        <v>264956605</v>
      </c>
      <c r="F255" s="1">
        <v>44351</v>
      </c>
      <c r="G255" s="3">
        <v>5402</v>
      </c>
      <c r="H255" s="2">
        <v>437.2</v>
      </c>
      <c r="I255" s="2">
        <v>263.33</v>
      </c>
      <c r="J255" s="2">
        <v>2361754.4</v>
      </c>
      <c r="K255" s="2">
        <v>1422508.66</v>
      </c>
    </row>
    <row r="256" spans="1:11" x14ac:dyDescent="0.3">
      <c r="A256" s="4" t="s">
        <v>266</v>
      </c>
      <c r="B256" s="4" t="s">
        <v>1160</v>
      </c>
      <c r="C256" s="4" t="s">
        <v>12</v>
      </c>
      <c r="D256" s="1">
        <v>44786</v>
      </c>
      <c r="E256" s="4">
        <v>332419955</v>
      </c>
      <c r="F256" s="1">
        <v>44816</v>
      </c>
      <c r="G256" s="3">
        <v>9307</v>
      </c>
      <c r="H256" s="2">
        <v>152.58000000000001</v>
      </c>
      <c r="I256" s="2">
        <v>97.44</v>
      </c>
      <c r="J256" s="2">
        <v>1420062.06</v>
      </c>
      <c r="K256" s="2">
        <v>906874.08</v>
      </c>
    </row>
    <row r="257" spans="1:11" x14ac:dyDescent="0.3">
      <c r="A257" s="4" t="s">
        <v>267</v>
      </c>
      <c r="B257" s="4" t="s">
        <v>1160</v>
      </c>
      <c r="C257" s="4" t="s">
        <v>19</v>
      </c>
      <c r="D257" s="1">
        <v>44795</v>
      </c>
      <c r="E257" s="4">
        <v>458289372</v>
      </c>
      <c r="F257" s="1">
        <v>44803</v>
      </c>
      <c r="G257" s="3">
        <v>6864</v>
      </c>
      <c r="H257" s="2">
        <v>152.58000000000001</v>
      </c>
      <c r="I257" s="2">
        <v>97.44</v>
      </c>
      <c r="J257" s="2">
        <v>1047309.1200000001</v>
      </c>
      <c r="K257" s="2">
        <v>668828.16000000003</v>
      </c>
    </row>
    <row r="258" spans="1:11" x14ac:dyDescent="0.3">
      <c r="A258" s="4" t="s">
        <v>268</v>
      </c>
      <c r="B258" s="4" t="s">
        <v>1174</v>
      </c>
      <c r="C258" s="4" t="s">
        <v>14</v>
      </c>
      <c r="D258" s="1">
        <v>43886</v>
      </c>
      <c r="E258" s="4">
        <v>498863685</v>
      </c>
      <c r="F258" s="1">
        <v>43898</v>
      </c>
      <c r="G258" s="3">
        <v>3705</v>
      </c>
      <c r="H258" s="2">
        <v>81.73</v>
      </c>
      <c r="I258" s="2">
        <v>56.67</v>
      </c>
      <c r="J258" s="2">
        <v>302809.65000000002</v>
      </c>
      <c r="K258" s="2">
        <v>209962.35</v>
      </c>
    </row>
    <row r="259" spans="1:11" x14ac:dyDescent="0.3">
      <c r="A259" s="4" t="s">
        <v>269</v>
      </c>
      <c r="B259" s="4" t="s">
        <v>1170</v>
      </c>
      <c r="C259" s="4" t="s">
        <v>17</v>
      </c>
      <c r="D259" s="1">
        <v>44870</v>
      </c>
      <c r="E259" s="4">
        <v>830754220</v>
      </c>
      <c r="F259" s="1">
        <v>44872</v>
      </c>
      <c r="G259" s="3">
        <v>7490</v>
      </c>
      <c r="H259" s="2">
        <v>47.45</v>
      </c>
      <c r="I259" s="2">
        <v>31.79</v>
      </c>
      <c r="J259" s="2">
        <v>355400.5</v>
      </c>
      <c r="K259" s="2">
        <v>238107.1</v>
      </c>
    </row>
    <row r="260" spans="1:11" x14ac:dyDescent="0.3">
      <c r="A260" s="4" t="s">
        <v>270</v>
      </c>
      <c r="B260" s="4" t="s">
        <v>1168</v>
      </c>
      <c r="C260" s="4" t="s">
        <v>14</v>
      </c>
      <c r="D260" s="1">
        <v>43922</v>
      </c>
      <c r="E260" s="4">
        <v>100884807</v>
      </c>
      <c r="F260" s="1">
        <v>43951</v>
      </c>
      <c r="G260" s="3">
        <v>2911</v>
      </c>
      <c r="H260" s="2">
        <v>255.28</v>
      </c>
      <c r="I260" s="2">
        <v>159.41999999999999</v>
      </c>
      <c r="J260" s="2">
        <v>743120.08</v>
      </c>
      <c r="K260" s="2">
        <v>464071.61999999994</v>
      </c>
    </row>
    <row r="261" spans="1:11" x14ac:dyDescent="0.3">
      <c r="A261" s="4" t="s">
        <v>178</v>
      </c>
      <c r="B261" s="4" t="s">
        <v>1162</v>
      </c>
      <c r="C261" s="4" t="s">
        <v>14</v>
      </c>
      <c r="D261" s="1">
        <v>44668</v>
      </c>
      <c r="E261" s="4">
        <v>176491773</v>
      </c>
      <c r="F261" s="1">
        <v>44675</v>
      </c>
      <c r="G261" s="3">
        <v>6692</v>
      </c>
      <c r="H261" s="2">
        <v>421.89</v>
      </c>
      <c r="I261" s="2">
        <v>364.69</v>
      </c>
      <c r="J261" s="2">
        <v>2823287.88</v>
      </c>
      <c r="K261" s="2">
        <v>2440505.48</v>
      </c>
    </row>
    <row r="262" spans="1:11" x14ac:dyDescent="0.3">
      <c r="A262" s="4" t="s">
        <v>271</v>
      </c>
      <c r="B262" s="4" t="s">
        <v>1162</v>
      </c>
      <c r="C262" s="4" t="s">
        <v>17</v>
      </c>
      <c r="D262" s="1">
        <v>44099</v>
      </c>
      <c r="E262" s="4">
        <v>295123946</v>
      </c>
      <c r="F262" s="1">
        <v>44138</v>
      </c>
      <c r="G262" s="3">
        <v>2589</v>
      </c>
      <c r="H262" s="2">
        <v>421.89</v>
      </c>
      <c r="I262" s="2">
        <v>364.69</v>
      </c>
      <c r="J262" s="2">
        <v>1092273.21</v>
      </c>
      <c r="K262" s="2">
        <v>944182.41</v>
      </c>
    </row>
    <row r="263" spans="1:11" x14ac:dyDescent="0.3">
      <c r="A263" s="4" t="s">
        <v>272</v>
      </c>
      <c r="B263" s="4" t="s">
        <v>1174</v>
      </c>
      <c r="C263" s="4" t="s">
        <v>17</v>
      </c>
      <c r="D263" s="1">
        <v>44568</v>
      </c>
      <c r="E263" s="4">
        <v>214642655</v>
      </c>
      <c r="F263" s="1">
        <v>44606</v>
      </c>
      <c r="G263" s="3">
        <v>6386</v>
      </c>
      <c r="H263" s="2">
        <v>81.73</v>
      </c>
      <c r="I263" s="2">
        <v>56.67</v>
      </c>
      <c r="J263" s="2">
        <v>521927.78</v>
      </c>
      <c r="K263" s="2">
        <v>361894.62</v>
      </c>
    </row>
    <row r="264" spans="1:11" x14ac:dyDescent="0.3">
      <c r="A264" s="4" t="s">
        <v>273</v>
      </c>
      <c r="B264" s="4" t="s">
        <v>1162</v>
      </c>
      <c r="C264" s="4" t="s">
        <v>19</v>
      </c>
      <c r="D264" s="1">
        <v>43882</v>
      </c>
      <c r="E264" s="4">
        <v>663221728</v>
      </c>
      <c r="F264" s="1">
        <v>43891</v>
      </c>
      <c r="G264" s="3">
        <v>903</v>
      </c>
      <c r="H264" s="2">
        <v>421.89</v>
      </c>
      <c r="I264" s="2">
        <v>364.69</v>
      </c>
      <c r="J264" s="2">
        <v>380966.67</v>
      </c>
      <c r="K264" s="2">
        <v>329315.07</v>
      </c>
    </row>
    <row r="265" spans="1:11" x14ac:dyDescent="0.3">
      <c r="A265" s="4" t="s">
        <v>274</v>
      </c>
      <c r="B265" s="4" t="s">
        <v>1180</v>
      </c>
      <c r="C265" s="4" t="s">
        <v>19</v>
      </c>
      <c r="D265" s="1">
        <v>44167</v>
      </c>
      <c r="E265" s="4">
        <v>189347493</v>
      </c>
      <c r="F265" s="1">
        <v>44186</v>
      </c>
      <c r="G265" s="3">
        <v>986</v>
      </c>
      <c r="H265" s="2">
        <v>109.28</v>
      </c>
      <c r="I265" s="2">
        <v>35.840000000000003</v>
      </c>
      <c r="J265" s="2">
        <v>107750.08</v>
      </c>
      <c r="K265" s="2">
        <v>35338.240000000005</v>
      </c>
    </row>
    <row r="266" spans="1:11" x14ac:dyDescent="0.3">
      <c r="A266" s="4" t="s">
        <v>275</v>
      </c>
      <c r="B266" s="4" t="s">
        <v>1170</v>
      </c>
      <c r="C266" s="4" t="s">
        <v>14</v>
      </c>
      <c r="D266" s="1">
        <v>44042</v>
      </c>
      <c r="E266" s="4">
        <v>111818778</v>
      </c>
      <c r="F266" s="1">
        <v>44066</v>
      </c>
      <c r="G266" s="3">
        <v>8516</v>
      </c>
      <c r="H266" s="2">
        <v>47.45</v>
      </c>
      <c r="I266" s="2">
        <v>31.79</v>
      </c>
      <c r="J266" s="2">
        <v>404084.2</v>
      </c>
      <c r="K266" s="2">
        <v>270723.64</v>
      </c>
    </row>
    <row r="267" spans="1:11" x14ac:dyDescent="0.3">
      <c r="A267" s="4" t="s">
        <v>276</v>
      </c>
      <c r="B267" s="4" t="s">
        <v>1176</v>
      </c>
      <c r="C267" s="4" t="s">
        <v>17</v>
      </c>
      <c r="D267" s="1">
        <v>44364</v>
      </c>
      <c r="E267" s="4">
        <v>469746911</v>
      </c>
      <c r="F267" s="1">
        <v>44405</v>
      </c>
      <c r="G267" s="3">
        <v>7405</v>
      </c>
      <c r="H267" s="2">
        <v>651.21</v>
      </c>
      <c r="I267" s="2">
        <v>524.96</v>
      </c>
      <c r="J267" s="2">
        <v>4822210.05</v>
      </c>
      <c r="K267" s="2">
        <v>3887328.8000000003</v>
      </c>
    </row>
    <row r="268" spans="1:11" x14ac:dyDescent="0.3">
      <c r="A268" s="4" t="s">
        <v>277</v>
      </c>
      <c r="B268" s="4" t="s">
        <v>1182</v>
      </c>
      <c r="C268" s="4" t="s">
        <v>12</v>
      </c>
      <c r="D268" s="1">
        <v>44568</v>
      </c>
      <c r="E268" s="4">
        <v>472555720</v>
      </c>
      <c r="F268" s="1">
        <v>44595</v>
      </c>
      <c r="G268" s="3">
        <v>8594</v>
      </c>
      <c r="H268" s="2">
        <v>668.27</v>
      </c>
      <c r="I268" s="2">
        <v>502.54</v>
      </c>
      <c r="J268" s="2">
        <v>5743112.3799999999</v>
      </c>
      <c r="K268" s="2">
        <v>4318828.76</v>
      </c>
    </row>
    <row r="269" spans="1:11" x14ac:dyDescent="0.3">
      <c r="A269" s="4" t="s">
        <v>278</v>
      </c>
      <c r="B269" s="4" t="s">
        <v>1180</v>
      </c>
      <c r="C269" s="4" t="s">
        <v>14</v>
      </c>
      <c r="D269" s="1">
        <v>44236</v>
      </c>
      <c r="E269" s="4">
        <v>749981534</v>
      </c>
      <c r="F269" s="1">
        <v>44238</v>
      </c>
      <c r="G269" s="3">
        <v>5057</v>
      </c>
      <c r="H269" s="2">
        <v>109.28</v>
      </c>
      <c r="I269" s="2">
        <v>35.840000000000003</v>
      </c>
      <c r="J269" s="2">
        <v>552628.96</v>
      </c>
      <c r="K269" s="2">
        <v>181242.88</v>
      </c>
    </row>
    <row r="270" spans="1:11" x14ac:dyDescent="0.3">
      <c r="A270" s="4" t="s">
        <v>279</v>
      </c>
      <c r="B270" s="4" t="s">
        <v>1164</v>
      </c>
      <c r="C270" s="4" t="s">
        <v>12</v>
      </c>
      <c r="D270" s="1">
        <v>44663</v>
      </c>
      <c r="E270" s="4">
        <v>202073180</v>
      </c>
      <c r="F270" s="1">
        <v>44689</v>
      </c>
      <c r="G270" s="3">
        <v>6799</v>
      </c>
      <c r="H270" s="2">
        <v>205.7</v>
      </c>
      <c r="I270" s="2">
        <v>117.11</v>
      </c>
      <c r="J270" s="2">
        <v>1398554.2999999998</v>
      </c>
      <c r="K270" s="2">
        <v>796230.89</v>
      </c>
    </row>
    <row r="271" spans="1:11" x14ac:dyDescent="0.3">
      <c r="A271" s="4" t="s">
        <v>280</v>
      </c>
      <c r="B271" s="4" t="s">
        <v>1182</v>
      </c>
      <c r="C271" s="4" t="s">
        <v>17</v>
      </c>
      <c r="D271" s="1">
        <v>44161</v>
      </c>
      <c r="E271" s="4">
        <v>949191987</v>
      </c>
      <c r="F271" s="1">
        <v>44180</v>
      </c>
      <c r="G271" s="3">
        <v>5857</v>
      </c>
      <c r="H271" s="2">
        <v>668.27</v>
      </c>
      <c r="I271" s="2">
        <v>502.54</v>
      </c>
      <c r="J271" s="2">
        <v>3914057.3899999997</v>
      </c>
      <c r="K271" s="2">
        <v>2943376.7800000003</v>
      </c>
    </row>
    <row r="272" spans="1:11" x14ac:dyDescent="0.3">
      <c r="A272" s="4" t="s">
        <v>281</v>
      </c>
      <c r="B272" s="4" t="s">
        <v>1174</v>
      </c>
      <c r="C272" s="4" t="s">
        <v>17</v>
      </c>
      <c r="D272" s="1">
        <v>44838</v>
      </c>
      <c r="E272" s="4">
        <v>682011783</v>
      </c>
      <c r="F272" s="1">
        <v>44879</v>
      </c>
      <c r="G272" s="3">
        <v>1297</v>
      </c>
      <c r="H272" s="2">
        <v>81.73</v>
      </c>
      <c r="I272" s="2">
        <v>56.67</v>
      </c>
      <c r="J272" s="2">
        <v>106003.81000000001</v>
      </c>
      <c r="K272" s="2">
        <v>73500.990000000005</v>
      </c>
    </row>
    <row r="273" spans="1:11" x14ac:dyDescent="0.3">
      <c r="A273" s="4" t="s">
        <v>282</v>
      </c>
      <c r="B273" s="4" t="s">
        <v>1180</v>
      </c>
      <c r="C273" s="4" t="s">
        <v>17</v>
      </c>
      <c r="D273" s="1">
        <v>44779</v>
      </c>
      <c r="E273" s="4">
        <v>311518895</v>
      </c>
      <c r="F273" s="1">
        <v>44794</v>
      </c>
      <c r="G273" s="3">
        <v>4219</v>
      </c>
      <c r="H273" s="2">
        <v>109.28</v>
      </c>
      <c r="I273" s="2">
        <v>35.840000000000003</v>
      </c>
      <c r="J273" s="2">
        <v>461052.32</v>
      </c>
      <c r="K273" s="2">
        <v>151208.96000000002</v>
      </c>
    </row>
    <row r="274" spans="1:11" x14ac:dyDescent="0.3">
      <c r="A274" s="4" t="s">
        <v>283</v>
      </c>
      <c r="B274" s="4" t="s">
        <v>1172</v>
      </c>
      <c r="C274" s="4" t="s">
        <v>17</v>
      </c>
      <c r="D274" s="1">
        <v>44820</v>
      </c>
      <c r="E274" s="4">
        <v>819012153</v>
      </c>
      <c r="F274" s="1">
        <v>44822</v>
      </c>
      <c r="G274" s="3">
        <v>2751</v>
      </c>
      <c r="H274" s="2">
        <v>437.2</v>
      </c>
      <c r="I274" s="2">
        <v>263.33</v>
      </c>
      <c r="J274" s="2">
        <v>1202737.2</v>
      </c>
      <c r="K274" s="2">
        <v>724420.83</v>
      </c>
    </row>
    <row r="275" spans="1:11" x14ac:dyDescent="0.3">
      <c r="A275" s="4" t="s">
        <v>284</v>
      </c>
      <c r="B275" s="4" t="s">
        <v>1176</v>
      </c>
      <c r="C275" s="4" t="s">
        <v>12</v>
      </c>
      <c r="D275" s="1">
        <v>43859</v>
      </c>
      <c r="E275" s="4">
        <v>106102883</v>
      </c>
      <c r="F275" s="1">
        <v>43889</v>
      </c>
      <c r="G275" s="3">
        <v>7056</v>
      </c>
      <c r="H275" s="2">
        <v>651.21</v>
      </c>
      <c r="I275" s="2">
        <v>524.96</v>
      </c>
      <c r="J275" s="2">
        <v>4594937.7600000007</v>
      </c>
      <c r="K275" s="2">
        <v>3704117.7600000002</v>
      </c>
    </row>
    <row r="276" spans="1:11" x14ac:dyDescent="0.3">
      <c r="A276" s="4" t="s">
        <v>285</v>
      </c>
      <c r="B276" s="4" t="s">
        <v>1162</v>
      </c>
      <c r="C276" s="4" t="s">
        <v>19</v>
      </c>
      <c r="D276" s="1">
        <v>44595</v>
      </c>
      <c r="E276" s="4">
        <v>644714915</v>
      </c>
      <c r="F276" s="1">
        <v>44602</v>
      </c>
      <c r="G276" s="3">
        <v>4325</v>
      </c>
      <c r="H276" s="2">
        <v>421.89</v>
      </c>
      <c r="I276" s="2">
        <v>364.69</v>
      </c>
      <c r="J276" s="2">
        <v>1824674.25</v>
      </c>
      <c r="K276" s="2">
        <v>1577284.25</v>
      </c>
    </row>
    <row r="277" spans="1:11" x14ac:dyDescent="0.3">
      <c r="A277" s="4" t="s">
        <v>162</v>
      </c>
      <c r="B277" s="4" t="s">
        <v>1170</v>
      </c>
      <c r="C277" s="4" t="s">
        <v>17</v>
      </c>
      <c r="D277" s="1">
        <v>44653</v>
      </c>
      <c r="E277" s="4">
        <v>927084577</v>
      </c>
      <c r="F277" s="1">
        <v>44667</v>
      </c>
      <c r="G277" s="3">
        <v>3783</v>
      </c>
      <c r="H277" s="2">
        <v>47.45</v>
      </c>
      <c r="I277" s="2">
        <v>31.79</v>
      </c>
      <c r="J277" s="2">
        <v>179503.35</v>
      </c>
      <c r="K277" s="2">
        <v>120261.56999999999</v>
      </c>
    </row>
    <row r="278" spans="1:11" x14ac:dyDescent="0.3">
      <c r="A278" s="4" t="s">
        <v>286</v>
      </c>
      <c r="B278" s="4" t="s">
        <v>1178</v>
      </c>
      <c r="C278" s="4" t="s">
        <v>12</v>
      </c>
      <c r="D278" s="1">
        <v>44414</v>
      </c>
      <c r="E278" s="4">
        <v>415760695</v>
      </c>
      <c r="F278" s="1">
        <v>44426</v>
      </c>
      <c r="G278" s="3">
        <v>1684</v>
      </c>
      <c r="H278" s="2">
        <v>154.06</v>
      </c>
      <c r="I278" s="2">
        <v>90.93</v>
      </c>
      <c r="J278" s="2">
        <v>259437.04</v>
      </c>
      <c r="K278" s="2">
        <v>153126.12000000002</v>
      </c>
    </row>
    <row r="279" spans="1:11" x14ac:dyDescent="0.3">
      <c r="A279" s="4" t="s">
        <v>287</v>
      </c>
      <c r="B279" s="4" t="s">
        <v>1164</v>
      </c>
      <c r="C279" s="4" t="s">
        <v>19</v>
      </c>
      <c r="D279" s="1">
        <v>44406</v>
      </c>
      <c r="E279" s="4">
        <v>893604600</v>
      </c>
      <c r="F279" s="1">
        <v>44437</v>
      </c>
      <c r="G279" s="3">
        <v>6314</v>
      </c>
      <c r="H279" s="2">
        <v>205.7</v>
      </c>
      <c r="I279" s="2">
        <v>117.11</v>
      </c>
      <c r="J279" s="2">
        <v>1298789.7999999998</v>
      </c>
      <c r="K279" s="2">
        <v>739432.54</v>
      </c>
    </row>
    <row r="280" spans="1:11" x14ac:dyDescent="0.3">
      <c r="A280" s="4" t="s">
        <v>288</v>
      </c>
      <c r="B280" s="4" t="s">
        <v>1180</v>
      </c>
      <c r="C280" s="4" t="s">
        <v>17</v>
      </c>
      <c r="D280" s="1">
        <v>44785</v>
      </c>
      <c r="E280" s="4">
        <v>613790118</v>
      </c>
      <c r="F280" s="1">
        <v>44822</v>
      </c>
      <c r="G280" s="3">
        <v>2991</v>
      </c>
      <c r="H280" s="2">
        <v>109.28</v>
      </c>
      <c r="I280" s="2">
        <v>35.840000000000003</v>
      </c>
      <c r="J280" s="2">
        <v>326856.48</v>
      </c>
      <c r="K280" s="2">
        <v>107197.44000000002</v>
      </c>
    </row>
    <row r="281" spans="1:11" x14ac:dyDescent="0.3">
      <c r="A281" s="4" t="s">
        <v>289</v>
      </c>
      <c r="B281" s="4" t="s">
        <v>1174</v>
      </c>
      <c r="C281" s="4" t="s">
        <v>14</v>
      </c>
      <c r="D281" s="1">
        <v>44804</v>
      </c>
      <c r="E281" s="4">
        <v>149803578</v>
      </c>
      <c r="F281" s="1">
        <v>44811</v>
      </c>
      <c r="G281" s="3">
        <v>9063</v>
      </c>
      <c r="H281" s="2">
        <v>81.73</v>
      </c>
      <c r="I281" s="2">
        <v>56.67</v>
      </c>
      <c r="J281" s="2">
        <v>740718.99</v>
      </c>
      <c r="K281" s="2">
        <v>513600.21</v>
      </c>
    </row>
    <row r="282" spans="1:11" x14ac:dyDescent="0.3">
      <c r="A282" s="4" t="s">
        <v>290</v>
      </c>
      <c r="B282" s="4" t="s">
        <v>1160</v>
      </c>
      <c r="C282" s="4" t="s">
        <v>19</v>
      </c>
      <c r="D282" s="1">
        <v>44391</v>
      </c>
      <c r="E282" s="4">
        <v>145443809</v>
      </c>
      <c r="F282" s="1">
        <v>44403</v>
      </c>
      <c r="G282" s="3">
        <v>8910</v>
      </c>
      <c r="H282" s="2">
        <v>152.58000000000001</v>
      </c>
      <c r="I282" s="2">
        <v>97.44</v>
      </c>
      <c r="J282" s="2">
        <v>1359487.8</v>
      </c>
      <c r="K282" s="2">
        <v>868190.4</v>
      </c>
    </row>
    <row r="283" spans="1:11" x14ac:dyDescent="0.3">
      <c r="A283" s="4" t="s">
        <v>291</v>
      </c>
      <c r="B283" s="4" t="s">
        <v>1180</v>
      </c>
      <c r="C283" s="4" t="s">
        <v>12</v>
      </c>
      <c r="D283" s="1">
        <v>44660</v>
      </c>
      <c r="E283" s="4">
        <v>864822137</v>
      </c>
      <c r="F283" s="1">
        <v>44692</v>
      </c>
      <c r="G283" s="3">
        <v>8943</v>
      </c>
      <c r="H283" s="2">
        <v>109.28</v>
      </c>
      <c r="I283" s="2">
        <v>35.840000000000003</v>
      </c>
      <c r="J283" s="2">
        <v>977291.04</v>
      </c>
      <c r="K283" s="2">
        <v>320517.12000000005</v>
      </c>
    </row>
    <row r="284" spans="1:11" x14ac:dyDescent="0.3">
      <c r="A284" s="4" t="s">
        <v>292</v>
      </c>
      <c r="B284" s="4" t="s">
        <v>1176</v>
      </c>
      <c r="C284" s="4" t="s">
        <v>14</v>
      </c>
      <c r="D284" s="1">
        <v>44265</v>
      </c>
      <c r="E284" s="4">
        <v>842362391</v>
      </c>
      <c r="F284" s="1">
        <v>44300</v>
      </c>
      <c r="G284" s="3">
        <v>2606</v>
      </c>
      <c r="H284" s="2">
        <v>651.21</v>
      </c>
      <c r="I284" s="2">
        <v>524.96</v>
      </c>
      <c r="J284" s="2">
        <v>1697053.26</v>
      </c>
      <c r="K284" s="2">
        <v>1368045.76</v>
      </c>
    </row>
    <row r="285" spans="1:11" x14ac:dyDescent="0.3">
      <c r="A285" s="4" t="s">
        <v>293</v>
      </c>
      <c r="B285" s="4" t="s">
        <v>1160</v>
      </c>
      <c r="C285" s="4" t="s">
        <v>17</v>
      </c>
      <c r="D285" s="1">
        <v>44092</v>
      </c>
      <c r="E285" s="4">
        <v>932800900</v>
      </c>
      <c r="F285" s="1">
        <v>44095</v>
      </c>
      <c r="G285" s="3">
        <v>5370</v>
      </c>
      <c r="H285" s="2">
        <v>152.58000000000001</v>
      </c>
      <c r="I285" s="2">
        <v>97.44</v>
      </c>
      <c r="J285" s="2">
        <v>819354.60000000009</v>
      </c>
      <c r="K285" s="2">
        <v>523252.8</v>
      </c>
    </row>
    <row r="286" spans="1:11" x14ac:dyDescent="0.3">
      <c r="A286" s="4" t="s">
        <v>294</v>
      </c>
      <c r="B286" s="4" t="s">
        <v>1168</v>
      </c>
      <c r="C286" s="4" t="s">
        <v>14</v>
      </c>
      <c r="D286" s="1">
        <v>44654</v>
      </c>
      <c r="E286" s="4">
        <v>261186492</v>
      </c>
      <c r="F286" s="1">
        <v>44664</v>
      </c>
      <c r="G286" s="3">
        <v>9742</v>
      </c>
      <c r="H286" s="2">
        <v>255.28</v>
      </c>
      <c r="I286" s="2">
        <v>159.41999999999999</v>
      </c>
      <c r="J286" s="2">
        <v>2486937.7600000002</v>
      </c>
      <c r="K286" s="2">
        <v>1553069.64</v>
      </c>
    </row>
    <row r="287" spans="1:11" x14ac:dyDescent="0.3">
      <c r="A287" s="4" t="s">
        <v>295</v>
      </c>
      <c r="B287" s="4" t="s">
        <v>1182</v>
      </c>
      <c r="C287" s="4" t="s">
        <v>19</v>
      </c>
      <c r="D287" s="1">
        <v>44523</v>
      </c>
      <c r="E287" s="4">
        <v>272880494</v>
      </c>
      <c r="F287" s="1">
        <v>44561</v>
      </c>
      <c r="G287" s="3">
        <v>257</v>
      </c>
      <c r="H287" s="2">
        <v>668.27</v>
      </c>
      <c r="I287" s="2">
        <v>502.54</v>
      </c>
      <c r="J287" s="2">
        <v>171745.38999999998</v>
      </c>
      <c r="K287" s="2">
        <v>129152.78</v>
      </c>
    </row>
    <row r="288" spans="1:11" x14ac:dyDescent="0.3">
      <c r="A288" s="4" t="s">
        <v>296</v>
      </c>
      <c r="B288" s="4" t="s">
        <v>1180</v>
      </c>
      <c r="C288" s="4" t="s">
        <v>14</v>
      </c>
      <c r="D288" s="1">
        <v>43981</v>
      </c>
      <c r="E288" s="4">
        <v>683556735</v>
      </c>
      <c r="F288" s="1">
        <v>43990</v>
      </c>
      <c r="G288" s="3">
        <v>8483</v>
      </c>
      <c r="H288" s="2">
        <v>109.28</v>
      </c>
      <c r="I288" s="2">
        <v>35.840000000000003</v>
      </c>
      <c r="J288" s="2">
        <v>927022.24</v>
      </c>
      <c r="K288" s="2">
        <v>304030.72000000003</v>
      </c>
    </row>
    <row r="289" spans="1:11" x14ac:dyDescent="0.3">
      <c r="A289" s="4" t="s">
        <v>297</v>
      </c>
      <c r="B289" s="4" t="s">
        <v>1170</v>
      </c>
      <c r="C289" s="4" t="s">
        <v>17</v>
      </c>
      <c r="D289" s="1">
        <v>44505</v>
      </c>
      <c r="E289" s="4">
        <v>829201543</v>
      </c>
      <c r="F289" s="1">
        <v>44515</v>
      </c>
      <c r="G289" s="3">
        <v>8018</v>
      </c>
      <c r="H289" s="2">
        <v>47.45</v>
      </c>
      <c r="I289" s="2">
        <v>31.79</v>
      </c>
      <c r="J289" s="2">
        <v>380454.10000000003</v>
      </c>
      <c r="K289" s="2">
        <v>254892.22</v>
      </c>
    </row>
    <row r="290" spans="1:11" x14ac:dyDescent="0.3">
      <c r="A290" s="4" t="s">
        <v>298</v>
      </c>
      <c r="B290" s="4" t="s">
        <v>1170</v>
      </c>
      <c r="C290" s="4" t="s">
        <v>19</v>
      </c>
      <c r="D290" s="1">
        <v>44061</v>
      </c>
      <c r="E290" s="4">
        <v>116113746</v>
      </c>
      <c r="F290" s="1">
        <v>44075</v>
      </c>
      <c r="G290" s="3">
        <v>9493</v>
      </c>
      <c r="H290" s="2">
        <v>47.45</v>
      </c>
      <c r="I290" s="2">
        <v>31.79</v>
      </c>
      <c r="J290" s="2">
        <v>450442.85000000003</v>
      </c>
      <c r="K290" s="2">
        <v>301782.46999999997</v>
      </c>
    </row>
    <row r="291" spans="1:11" x14ac:dyDescent="0.3">
      <c r="A291" s="4" t="s">
        <v>299</v>
      </c>
      <c r="B291" s="4" t="s">
        <v>1164</v>
      </c>
      <c r="C291" s="4" t="s">
        <v>19</v>
      </c>
      <c r="D291" s="1">
        <v>43896</v>
      </c>
      <c r="E291" s="4">
        <v>270904672</v>
      </c>
      <c r="F291" s="1">
        <v>43904</v>
      </c>
      <c r="G291" s="3">
        <v>5567</v>
      </c>
      <c r="H291" s="2">
        <v>205.7</v>
      </c>
      <c r="I291" s="2">
        <v>117.11</v>
      </c>
      <c r="J291" s="2">
        <v>1145131.8999999999</v>
      </c>
      <c r="K291" s="2">
        <v>651951.37</v>
      </c>
    </row>
    <row r="292" spans="1:11" x14ac:dyDescent="0.3">
      <c r="A292" s="4" t="s">
        <v>300</v>
      </c>
      <c r="B292" s="4" t="s">
        <v>1164</v>
      </c>
      <c r="C292" s="4" t="s">
        <v>19</v>
      </c>
      <c r="D292" s="1">
        <v>43837</v>
      </c>
      <c r="E292" s="4">
        <v>390498149</v>
      </c>
      <c r="F292" s="1">
        <v>43856</v>
      </c>
      <c r="G292" s="3">
        <v>5935</v>
      </c>
      <c r="H292" s="2">
        <v>205.7</v>
      </c>
      <c r="I292" s="2">
        <v>117.11</v>
      </c>
      <c r="J292" s="2">
        <v>1220829.5</v>
      </c>
      <c r="K292" s="2">
        <v>695047.85</v>
      </c>
    </row>
    <row r="293" spans="1:11" x14ac:dyDescent="0.3">
      <c r="A293" s="4" t="s">
        <v>301</v>
      </c>
      <c r="B293" s="4" t="s">
        <v>1172</v>
      </c>
      <c r="C293" s="4" t="s">
        <v>19</v>
      </c>
      <c r="D293" s="1">
        <v>43858</v>
      </c>
      <c r="E293" s="4">
        <v>992130506</v>
      </c>
      <c r="F293" s="1">
        <v>43893</v>
      </c>
      <c r="G293" s="3">
        <v>2319</v>
      </c>
      <c r="H293" s="2">
        <v>437.2</v>
      </c>
      <c r="I293" s="2">
        <v>263.33</v>
      </c>
      <c r="J293" s="2">
        <v>1013866.7999999999</v>
      </c>
      <c r="K293" s="2">
        <v>610662.27</v>
      </c>
    </row>
    <row r="294" spans="1:11" x14ac:dyDescent="0.3">
      <c r="A294" s="4" t="s">
        <v>302</v>
      </c>
      <c r="B294" s="4" t="s">
        <v>1160</v>
      </c>
      <c r="C294" s="4" t="s">
        <v>12</v>
      </c>
      <c r="D294" s="1">
        <v>44602</v>
      </c>
      <c r="E294" s="4">
        <v>863350570</v>
      </c>
      <c r="F294" s="1">
        <v>44634</v>
      </c>
      <c r="G294" s="3">
        <v>3474</v>
      </c>
      <c r="H294" s="2">
        <v>152.58000000000001</v>
      </c>
      <c r="I294" s="2">
        <v>97.44</v>
      </c>
      <c r="J294" s="2">
        <v>530062.92000000004</v>
      </c>
      <c r="K294" s="2">
        <v>338506.56</v>
      </c>
    </row>
    <row r="295" spans="1:11" x14ac:dyDescent="0.3">
      <c r="A295" s="4" t="s">
        <v>303</v>
      </c>
      <c r="B295" s="4" t="s">
        <v>1172</v>
      </c>
      <c r="C295" s="4" t="s">
        <v>17</v>
      </c>
      <c r="D295" s="1">
        <v>44770</v>
      </c>
      <c r="E295" s="4">
        <v>212019670</v>
      </c>
      <c r="F295" s="1">
        <v>44771</v>
      </c>
      <c r="G295" s="3">
        <v>187</v>
      </c>
      <c r="H295" s="2">
        <v>437.2</v>
      </c>
      <c r="I295" s="2">
        <v>263.33</v>
      </c>
      <c r="J295" s="2">
        <v>81756.399999999994</v>
      </c>
      <c r="K295" s="2">
        <v>49242.71</v>
      </c>
    </row>
    <row r="296" spans="1:11" x14ac:dyDescent="0.3">
      <c r="A296" s="4" t="s">
        <v>304</v>
      </c>
      <c r="B296" s="4" t="s">
        <v>1176</v>
      </c>
      <c r="C296" s="4" t="s">
        <v>12</v>
      </c>
      <c r="D296" s="1">
        <v>44778</v>
      </c>
      <c r="E296" s="4">
        <v>216311633</v>
      </c>
      <c r="F296" s="1">
        <v>44800</v>
      </c>
      <c r="G296" s="3">
        <v>274</v>
      </c>
      <c r="H296" s="2">
        <v>651.21</v>
      </c>
      <c r="I296" s="2">
        <v>524.96</v>
      </c>
      <c r="J296" s="2">
        <v>178431.54</v>
      </c>
      <c r="K296" s="2">
        <v>143839.04000000001</v>
      </c>
    </row>
    <row r="297" spans="1:11" x14ac:dyDescent="0.3">
      <c r="A297" s="4" t="s">
        <v>305</v>
      </c>
      <c r="B297" s="4" t="s">
        <v>1182</v>
      </c>
      <c r="C297" s="4" t="s">
        <v>14</v>
      </c>
      <c r="D297" s="1">
        <v>44141</v>
      </c>
      <c r="E297" s="4">
        <v>774712789</v>
      </c>
      <c r="F297" s="1">
        <v>44176</v>
      </c>
      <c r="G297" s="3">
        <v>3585</v>
      </c>
      <c r="H297" s="2">
        <v>668.27</v>
      </c>
      <c r="I297" s="2">
        <v>502.54</v>
      </c>
      <c r="J297" s="2">
        <v>2395747.9499999997</v>
      </c>
      <c r="K297" s="2">
        <v>1801605.9000000001</v>
      </c>
    </row>
    <row r="298" spans="1:11" x14ac:dyDescent="0.3">
      <c r="A298" s="4" t="s">
        <v>306</v>
      </c>
      <c r="B298" s="4" t="s">
        <v>1168</v>
      </c>
      <c r="C298" s="4" t="s">
        <v>12</v>
      </c>
      <c r="D298" s="1">
        <v>44091</v>
      </c>
      <c r="E298" s="4">
        <v>956021964</v>
      </c>
      <c r="F298" s="1">
        <v>44112</v>
      </c>
      <c r="G298" s="3">
        <v>6999</v>
      </c>
      <c r="H298" s="2">
        <v>255.28</v>
      </c>
      <c r="I298" s="2">
        <v>159.41999999999999</v>
      </c>
      <c r="J298" s="2">
        <v>1786704.72</v>
      </c>
      <c r="K298" s="2">
        <v>1115780.5799999998</v>
      </c>
    </row>
    <row r="299" spans="1:11" x14ac:dyDescent="0.3">
      <c r="A299" s="4" t="s">
        <v>307</v>
      </c>
      <c r="B299" s="4" t="s">
        <v>1172</v>
      </c>
      <c r="C299" s="4" t="s">
        <v>14</v>
      </c>
      <c r="D299" s="1">
        <v>43916</v>
      </c>
      <c r="E299" s="4">
        <v>349350488</v>
      </c>
      <c r="F299" s="1">
        <v>43940</v>
      </c>
      <c r="G299" s="3">
        <v>9428</v>
      </c>
      <c r="H299" s="2">
        <v>437.2</v>
      </c>
      <c r="I299" s="2">
        <v>263.33</v>
      </c>
      <c r="J299" s="2">
        <v>4121921.6</v>
      </c>
      <c r="K299" s="2">
        <v>2482675.2399999998</v>
      </c>
    </row>
    <row r="300" spans="1:11" x14ac:dyDescent="0.3">
      <c r="A300" s="4" t="s">
        <v>308</v>
      </c>
      <c r="B300" s="4" t="s">
        <v>1172</v>
      </c>
      <c r="C300" s="4" t="s">
        <v>14</v>
      </c>
      <c r="D300" s="1">
        <v>44618</v>
      </c>
      <c r="E300" s="4">
        <v>414122188</v>
      </c>
      <c r="F300" s="1">
        <v>44643</v>
      </c>
      <c r="G300" s="3">
        <v>6813</v>
      </c>
      <c r="H300" s="2">
        <v>437.2</v>
      </c>
      <c r="I300" s="2">
        <v>263.33</v>
      </c>
      <c r="J300" s="2">
        <v>2978643.6</v>
      </c>
      <c r="K300" s="2">
        <v>1794067.2899999998</v>
      </c>
    </row>
    <row r="301" spans="1:11" x14ac:dyDescent="0.3">
      <c r="A301" s="4" t="s">
        <v>309</v>
      </c>
      <c r="B301" s="4" t="s">
        <v>1182</v>
      </c>
      <c r="C301" s="4" t="s">
        <v>17</v>
      </c>
      <c r="D301" s="1">
        <v>44213</v>
      </c>
      <c r="E301" s="4">
        <v>430073392</v>
      </c>
      <c r="F301" s="1">
        <v>44232</v>
      </c>
      <c r="G301" s="3">
        <v>7129</v>
      </c>
      <c r="H301" s="2">
        <v>668.27</v>
      </c>
      <c r="I301" s="2">
        <v>502.54</v>
      </c>
      <c r="J301" s="2">
        <v>4764096.83</v>
      </c>
      <c r="K301" s="2">
        <v>3582607.66</v>
      </c>
    </row>
    <row r="302" spans="1:11" x14ac:dyDescent="0.3">
      <c r="A302" s="4" t="s">
        <v>310</v>
      </c>
      <c r="B302" s="4" t="s">
        <v>1174</v>
      </c>
      <c r="C302" s="4" t="s">
        <v>19</v>
      </c>
      <c r="D302" s="1">
        <v>44518</v>
      </c>
      <c r="E302" s="4">
        <v>647252929</v>
      </c>
      <c r="F302" s="1">
        <v>44558</v>
      </c>
      <c r="G302" s="3">
        <v>5380</v>
      </c>
      <c r="H302" s="2">
        <v>81.73</v>
      </c>
      <c r="I302" s="2">
        <v>56.67</v>
      </c>
      <c r="J302" s="2">
        <v>439707.4</v>
      </c>
      <c r="K302" s="2">
        <v>304884.60000000003</v>
      </c>
    </row>
    <row r="303" spans="1:11" x14ac:dyDescent="0.3">
      <c r="A303" s="4" t="s">
        <v>311</v>
      </c>
      <c r="B303" s="4" t="s">
        <v>1166</v>
      </c>
      <c r="C303" s="4" t="s">
        <v>14</v>
      </c>
      <c r="D303" s="1">
        <v>44367</v>
      </c>
      <c r="E303" s="4">
        <v>936022126</v>
      </c>
      <c r="F303" s="1">
        <v>44401</v>
      </c>
      <c r="G303" s="3">
        <v>8602</v>
      </c>
      <c r="H303" s="2">
        <v>9.33</v>
      </c>
      <c r="I303" s="2">
        <v>6.92</v>
      </c>
      <c r="J303" s="2">
        <v>80256.66</v>
      </c>
      <c r="K303" s="2">
        <v>59525.84</v>
      </c>
    </row>
    <row r="304" spans="1:11" x14ac:dyDescent="0.3">
      <c r="A304" s="4" t="s">
        <v>312</v>
      </c>
      <c r="B304" s="4" t="s">
        <v>1176</v>
      </c>
      <c r="C304" s="4" t="s">
        <v>17</v>
      </c>
      <c r="D304" s="1">
        <v>44303</v>
      </c>
      <c r="E304" s="4">
        <v>337054812</v>
      </c>
      <c r="F304" s="1">
        <v>44340</v>
      </c>
      <c r="G304" s="3">
        <v>864</v>
      </c>
      <c r="H304" s="2">
        <v>651.21</v>
      </c>
      <c r="I304" s="2">
        <v>524.96</v>
      </c>
      <c r="J304" s="2">
        <v>562645.44000000006</v>
      </c>
      <c r="K304" s="2">
        <v>453565.44000000006</v>
      </c>
    </row>
    <row r="305" spans="1:11" x14ac:dyDescent="0.3">
      <c r="A305" s="4" t="s">
        <v>313</v>
      </c>
      <c r="B305" s="4" t="s">
        <v>1162</v>
      </c>
      <c r="C305" s="4" t="s">
        <v>12</v>
      </c>
      <c r="D305" s="1">
        <v>43975</v>
      </c>
      <c r="E305" s="4">
        <v>211337316</v>
      </c>
      <c r="F305" s="1">
        <v>44020</v>
      </c>
      <c r="G305" s="3">
        <v>8263</v>
      </c>
      <c r="H305" s="2">
        <v>421.89</v>
      </c>
      <c r="I305" s="2">
        <v>364.69</v>
      </c>
      <c r="J305" s="2">
        <v>3486077.07</v>
      </c>
      <c r="K305" s="2">
        <v>3013433.47</v>
      </c>
    </row>
    <row r="306" spans="1:11" x14ac:dyDescent="0.3">
      <c r="A306" s="4" t="s">
        <v>314</v>
      </c>
      <c r="B306" s="4" t="s">
        <v>1160</v>
      </c>
      <c r="C306" s="4" t="s">
        <v>19</v>
      </c>
      <c r="D306" s="1">
        <v>44742</v>
      </c>
      <c r="E306" s="4">
        <v>190168464</v>
      </c>
      <c r="F306" s="1">
        <v>44788</v>
      </c>
      <c r="G306" s="3">
        <v>3929</v>
      </c>
      <c r="H306" s="2">
        <v>152.58000000000001</v>
      </c>
      <c r="I306" s="2">
        <v>97.44</v>
      </c>
      <c r="J306" s="2">
        <v>599486.82000000007</v>
      </c>
      <c r="K306" s="2">
        <v>382841.76</v>
      </c>
    </row>
    <row r="307" spans="1:11" x14ac:dyDescent="0.3">
      <c r="A307" s="4" t="s">
        <v>315</v>
      </c>
      <c r="B307" s="4" t="s">
        <v>1180</v>
      </c>
      <c r="C307" s="4" t="s">
        <v>19</v>
      </c>
      <c r="D307" s="1">
        <v>43937</v>
      </c>
      <c r="E307" s="4">
        <v>425159585</v>
      </c>
      <c r="F307" s="1">
        <v>43977</v>
      </c>
      <c r="G307" s="3">
        <v>3024</v>
      </c>
      <c r="H307" s="2">
        <v>109.28</v>
      </c>
      <c r="I307" s="2">
        <v>35.840000000000003</v>
      </c>
      <c r="J307" s="2">
        <v>330462.72000000003</v>
      </c>
      <c r="K307" s="2">
        <v>108380.16</v>
      </c>
    </row>
    <row r="308" spans="1:11" x14ac:dyDescent="0.3">
      <c r="A308" s="4" t="s">
        <v>316</v>
      </c>
      <c r="B308" s="4" t="s">
        <v>1162</v>
      </c>
      <c r="C308" s="4" t="s">
        <v>17</v>
      </c>
      <c r="D308" s="1">
        <v>44780</v>
      </c>
      <c r="E308" s="4">
        <v>238234508</v>
      </c>
      <c r="F308" s="1">
        <v>44794</v>
      </c>
      <c r="G308" s="3">
        <v>7740</v>
      </c>
      <c r="H308" s="2">
        <v>421.89</v>
      </c>
      <c r="I308" s="2">
        <v>364.69</v>
      </c>
      <c r="J308" s="2">
        <v>3265428.6</v>
      </c>
      <c r="K308" s="2">
        <v>2822700.6</v>
      </c>
    </row>
    <row r="309" spans="1:11" x14ac:dyDescent="0.3">
      <c r="A309" s="4" t="s">
        <v>317</v>
      </c>
      <c r="B309" s="4" t="s">
        <v>1172</v>
      </c>
      <c r="C309" s="4" t="s">
        <v>14</v>
      </c>
      <c r="D309" s="1">
        <v>44373</v>
      </c>
      <c r="E309" s="4">
        <v>371629559</v>
      </c>
      <c r="F309" s="1">
        <v>44393</v>
      </c>
      <c r="G309" s="3">
        <v>2300</v>
      </c>
      <c r="H309" s="2">
        <v>437.2</v>
      </c>
      <c r="I309" s="2">
        <v>263.33</v>
      </c>
      <c r="J309" s="2">
        <v>1005560</v>
      </c>
      <c r="K309" s="2">
        <v>605659</v>
      </c>
    </row>
    <row r="310" spans="1:11" x14ac:dyDescent="0.3">
      <c r="A310" s="4" t="s">
        <v>318</v>
      </c>
      <c r="B310" s="4" t="s">
        <v>1168</v>
      </c>
      <c r="C310" s="4" t="s">
        <v>17</v>
      </c>
      <c r="D310" s="1">
        <v>44664</v>
      </c>
      <c r="E310" s="4">
        <v>737893569</v>
      </c>
      <c r="F310" s="1">
        <v>44711</v>
      </c>
      <c r="G310" s="3">
        <v>7960</v>
      </c>
      <c r="H310" s="2">
        <v>255.28</v>
      </c>
      <c r="I310" s="2">
        <v>159.41999999999999</v>
      </c>
      <c r="J310" s="2">
        <v>2032028.8</v>
      </c>
      <c r="K310" s="2">
        <v>1268983.2</v>
      </c>
    </row>
    <row r="311" spans="1:11" x14ac:dyDescent="0.3">
      <c r="A311" s="4" t="s">
        <v>319</v>
      </c>
      <c r="B311" s="4" t="s">
        <v>1180</v>
      </c>
      <c r="C311" s="4" t="s">
        <v>12</v>
      </c>
      <c r="D311" s="1">
        <v>44617</v>
      </c>
      <c r="E311" s="4">
        <v>869887864</v>
      </c>
      <c r="F311" s="1">
        <v>44666</v>
      </c>
      <c r="G311" s="3">
        <v>8005</v>
      </c>
      <c r="H311" s="2">
        <v>109.28</v>
      </c>
      <c r="I311" s="2">
        <v>35.840000000000003</v>
      </c>
      <c r="J311" s="2">
        <v>874786.4</v>
      </c>
      <c r="K311" s="2">
        <v>286899.20000000001</v>
      </c>
    </row>
    <row r="312" spans="1:11" x14ac:dyDescent="0.3">
      <c r="A312" s="4" t="s">
        <v>320</v>
      </c>
      <c r="B312" s="4" t="s">
        <v>1174</v>
      </c>
      <c r="C312" s="4" t="s">
        <v>14</v>
      </c>
      <c r="D312" s="1">
        <v>43862</v>
      </c>
      <c r="E312" s="4">
        <v>370786273</v>
      </c>
      <c r="F312" s="1">
        <v>43877</v>
      </c>
      <c r="G312" s="3">
        <v>2753</v>
      </c>
      <c r="H312" s="2">
        <v>81.73</v>
      </c>
      <c r="I312" s="2">
        <v>56.67</v>
      </c>
      <c r="J312" s="2">
        <v>225002.69</v>
      </c>
      <c r="K312" s="2">
        <v>156012.51</v>
      </c>
    </row>
    <row r="313" spans="1:11" x14ac:dyDescent="0.3">
      <c r="A313" s="4" t="s">
        <v>321</v>
      </c>
      <c r="B313" s="4" t="s">
        <v>1164</v>
      </c>
      <c r="C313" s="4" t="s">
        <v>14</v>
      </c>
      <c r="D313" s="1">
        <v>44265</v>
      </c>
      <c r="E313" s="4">
        <v>264075124</v>
      </c>
      <c r="F313" s="1">
        <v>44266</v>
      </c>
      <c r="G313" s="3">
        <v>4552</v>
      </c>
      <c r="H313" s="2">
        <v>205.7</v>
      </c>
      <c r="I313" s="2">
        <v>117.11</v>
      </c>
      <c r="J313" s="2">
        <v>936346.39999999991</v>
      </c>
      <c r="K313" s="2">
        <v>533084.72</v>
      </c>
    </row>
    <row r="314" spans="1:11" x14ac:dyDescent="0.3">
      <c r="A314" s="4" t="s">
        <v>322</v>
      </c>
      <c r="B314" s="4" t="s">
        <v>1166</v>
      </c>
      <c r="C314" s="4" t="s">
        <v>17</v>
      </c>
      <c r="D314" s="1">
        <v>44187</v>
      </c>
      <c r="E314" s="4">
        <v>743553245</v>
      </c>
      <c r="F314" s="1">
        <v>44187</v>
      </c>
      <c r="G314" s="3">
        <v>2783</v>
      </c>
      <c r="H314" s="2">
        <v>9.33</v>
      </c>
      <c r="I314" s="2">
        <v>6.92</v>
      </c>
      <c r="J314" s="2">
        <v>25965.39</v>
      </c>
      <c r="K314" s="2">
        <v>19258.36</v>
      </c>
    </row>
    <row r="315" spans="1:11" x14ac:dyDescent="0.3">
      <c r="A315" s="4" t="s">
        <v>323</v>
      </c>
      <c r="B315" s="4" t="s">
        <v>1174</v>
      </c>
      <c r="C315" s="4" t="s">
        <v>12</v>
      </c>
      <c r="D315" s="1">
        <v>44220</v>
      </c>
      <c r="E315" s="4">
        <v>723331964</v>
      </c>
      <c r="F315" s="1">
        <v>44238</v>
      </c>
      <c r="G315" s="3">
        <v>8857</v>
      </c>
      <c r="H315" s="2">
        <v>81.73</v>
      </c>
      <c r="I315" s="2">
        <v>56.67</v>
      </c>
      <c r="J315" s="2">
        <v>723882.61</v>
      </c>
      <c r="K315" s="2">
        <v>501926.19</v>
      </c>
    </row>
    <row r="316" spans="1:11" x14ac:dyDescent="0.3">
      <c r="A316" s="4" t="s">
        <v>324</v>
      </c>
      <c r="B316" s="4" t="s">
        <v>1160</v>
      </c>
      <c r="C316" s="4" t="s">
        <v>19</v>
      </c>
      <c r="D316" s="1">
        <v>44584</v>
      </c>
      <c r="E316" s="4">
        <v>987835109</v>
      </c>
      <c r="F316" s="1">
        <v>44633</v>
      </c>
      <c r="G316" s="3">
        <v>1215</v>
      </c>
      <c r="H316" s="2">
        <v>152.58000000000001</v>
      </c>
      <c r="I316" s="2">
        <v>97.44</v>
      </c>
      <c r="J316" s="2">
        <v>185384.7</v>
      </c>
      <c r="K316" s="2">
        <v>118389.59999999999</v>
      </c>
    </row>
    <row r="317" spans="1:11" x14ac:dyDescent="0.3">
      <c r="A317" s="4" t="s">
        <v>325</v>
      </c>
      <c r="B317" s="4" t="s">
        <v>1176</v>
      </c>
      <c r="C317" s="4" t="s">
        <v>14</v>
      </c>
      <c r="D317" s="1">
        <v>44599</v>
      </c>
      <c r="E317" s="4">
        <v>141799008</v>
      </c>
      <c r="F317" s="1">
        <v>44648</v>
      </c>
      <c r="G317" s="3">
        <v>333</v>
      </c>
      <c r="H317" s="2">
        <v>651.21</v>
      </c>
      <c r="I317" s="2">
        <v>524.96</v>
      </c>
      <c r="J317" s="2">
        <v>216852.93000000002</v>
      </c>
      <c r="K317" s="2">
        <v>174811.68000000002</v>
      </c>
    </row>
    <row r="318" spans="1:11" x14ac:dyDescent="0.3">
      <c r="A318" s="4" t="s">
        <v>326</v>
      </c>
      <c r="B318" s="4" t="s">
        <v>1160</v>
      </c>
      <c r="C318" s="4" t="s">
        <v>14</v>
      </c>
      <c r="D318" s="1">
        <v>44256</v>
      </c>
      <c r="E318" s="4">
        <v>460272490</v>
      </c>
      <c r="F318" s="1">
        <v>44271</v>
      </c>
      <c r="G318" s="3">
        <v>3713</v>
      </c>
      <c r="H318" s="2">
        <v>152.58000000000001</v>
      </c>
      <c r="I318" s="2">
        <v>97.44</v>
      </c>
      <c r="J318" s="2">
        <v>566529.54</v>
      </c>
      <c r="K318" s="2">
        <v>361794.72</v>
      </c>
    </row>
    <row r="319" spans="1:11" x14ac:dyDescent="0.3">
      <c r="A319" s="4" t="s">
        <v>327</v>
      </c>
      <c r="B319" s="4" t="s">
        <v>1176</v>
      </c>
      <c r="C319" s="4" t="s">
        <v>19</v>
      </c>
      <c r="D319" s="1">
        <v>44737</v>
      </c>
      <c r="E319" s="4">
        <v>238616883</v>
      </c>
      <c r="F319" s="1">
        <v>44744</v>
      </c>
      <c r="G319" s="3">
        <v>893</v>
      </c>
      <c r="H319" s="2">
        <v>651.21</v>
      </c>
      <c r="I319" s="2">
        <v>524.96</v>
      </c>
      <c r="J319" s="2">
        <v>581530.53</v>
      </c>
      <c r="K319" s="2">
        <v>468789.28</v>
      </c>
    </row>
    <row r="320" spans="1:11" x14ac:dyDescent="0.3">
      <c r="A320" s="4" t="s">
        <v>328</v>
      </c>
      <c r="B320" s="4" t="s">
        <v>1174</v>
      </c>
      <c r="C320" s="4" t="s">
        <v>14</v>
      </c>
      <c r="D320" s="1">
        <v>44759</v>
      </c>
      <c r="E320" s="4">
        <v>542506015</v>
      </c>
      <c r="F320" s="1">
        <v>44780</v>
      </c>
      <c r="G320" s="3">
        <v>8440</v>
      </c>
      <c r="H320" s="2">
        <v>81.73</v>
      </c>
      <c r="I320" s="2">
        <v>56.67</v>
      </c>
      <c r="J320" s="2">
        <v>689801.20000000007</v>
      </c>
      <c r="K320" s="2">
        <v>478294.8</v>
      </c>
    </row>
    <row r="321" spans="1:11" x14ac:dyDescent="0.3">
      <c r="A321" s="4" t="s">
        <v>329</v>
      </c>
      <c r="B321" s="4" t="s">
        <v>1178</v>
      </c>
      <c r="C321" s="4" t="s">
        <v>14</v>
      </c>
      <c r="D321" s="1">
        <v>44231</v>
      </c>
      <c r="E321" s="4">
        <v>257926213</v>
      </c>
      <c r="F321" s="1">
        <v>44250</v>
      </c>
      <c r="G321" s="3">
        <v>4953</v>
      </c>
      <c r="H321" s="2">
        <v>154.06</v>
      </c>
      <c r="I321" s="2">
        <v>90.93</v>
      </c>
      <c r="J321" s="2">
        <v>763059.18</v>
      </c>
      <c r="K321" s="2">
        <v>450376.29000000004</v>
      </c>
    </row>
    <row r="322" spans="1:11" x14ac:dyDescent="0.3">
      <c r="A322" s="4" t="s">
        <v>330</v>
      </c>
      <c r="B322" s="4" t="s">
        <v>1168</v>
      </c>
      <c r="C322" s="4" t="s">
        <v>19</v>
      </c>
      <c r="D322" s="1">
        <v>44775</v>
      </c>
      <c r="E322" s="4">
        <v>141176307</v>
      </c>
      <c r="F322" s="1">
        <v>44824</v>
      </c>
      <c r="G322" s="3">
        <v>6061</v>
      </c>
      <c r="H322" s="2">
        <v>255.28</v>
      </c>
      <c r="I322" s="2">
        <v>159.41999999999999</v>
      </c>
      <c r="J322" s="2">
        <v>1547252.08</v>
      </c>
      <c r="K322" s="2">
        <v>966244.61999999988</v>
      </c>
    </row>
    <row r="323" spans="1:11" x14ac:dyDescent="0.3">
      <c r="A323" s="4" t="s">
        <v>331</v>
      </c>
      <c r="B323" s="4" t="s">
        <v>1162</v>
      </c>
      <c r="C323" s="4" t="s">
        <v>19</v>
      </c>
      <c r="D323" s="1">
        <v>43982</v>
      </c>
      <c r="E323" s="4">
        <v>568867623</v>
      </c>
      <c r="F323" s="1">
        <v>44004</v>
      </c>
      <c r="G323" s="3">
        <v>9426</v>
      </c>
      <c r="H323" s="2">
        <v>421.89</v>
      </c>
      <c r="I323" s="2">
        <v>364.69</v>
      </c>
      <c r="J323" s="2">
        <v>3976735.1399999997</v>
      </c>
      <c r="K323" s="2">
        <v>3437567.94</v>
      </c>
    </row>
    <row r="324" spans="1:11" x14ac:dyDescent="0.3">
      <c r="A324" s="4" t="s">
        <v>332</v>
      </c>
      <c r="B324" s="4" t="s">
        <v>1170</v>
      </c>
      <c r="C324" s="4" t="s">
        <v>19</v>
      </c>
      <c r="D324" s="1">
        <v>44291</v>
      </c>
      <c r="E324" s="4">
        <v>187923991</v>
      </c>
      <c r="F324" s="1">
        <v>44333</v>
      </c>
      <c r="G324" s="3">
        <v>9740</v>
      </c>
      <c r="H324" s="2">
        <v>47.45</v>
      </c>
      <c r="I324" s="2">
        <v>31.79</v>
      </c>
      <c r="J324" s="2">
        <v>462163</v>
      </c>
      <c r="K324" s="2">
        <v>309634.59999999998</v>
      </c>
    </row>
    <row r="325" spans="1:11" x14ac:dyDescent="0.3">
      <c r="A325" s="4" t="s">
        <v>333</v>
      </c>
      <c r="B325" s="4" t="s">
        <v>1164</v>
      </c>
      <c r="C325" s="4" t="s">
        <v>14</v>
      </c>
      <c r="D325" s="1">
        <v>44108</v>
      </c>
      <c r="E325" s="4">
        <v>865581738</v>
      </c>
      <c r="F325" s="1">
        <v>44127</v>
      </c>
      <c r="G325" s="3">
        <v>3726</v>
      </c>
      <c r="H325" s="2">
        <v>205.7</v>
      </c>
      <c r="I325" s="2">
        <v>117.11</v>
      </c>
      <c r="J325" s="2">
        <v>766438.2</v>
      </c>
      <c r="K325" s="2">
        <v>436351.86</v>
      </c>
    </row>
    <row r="326" spans="1:11" x14ac:dyDescent="0.3">
      <c r="A326" s="4" t="s">
        <v>334</v>
      </c>
      <c r="B326" s="4" t="s">
        <v>1170</v>
      </c>
      <c r="C326" s="4" t="s">
        <v>14</v>
      </c>
      <c r="D326" s="1">
        <v>44600</v>
      </c>
      <c r="E326" s="4">
        <v>939389693</v>
      </c>
      <c r="F326" s="1">
        <v>44607</v>
      </c>
      <c r="G326" s="3">
        <v>5140</v>
      </c>
      <c r="H326" s="2">
        <v>47.45</v>
      </c>
      <c r="I326" s="2">
        <v>31.79</v>
      </c>
      <c r="J326" s="2">
        <v>243893.00000000003</v>
      </c>
      <c r="K326" s="2">
        <v>163400.6</v>
      </c>
    </row>
    <row r="327" spans="1:11" x14ac:dyDescent="0.3">
      <c r="A327" s="4" t="s">
        <v>335</v>
      </c>
      <c r="B327" s="4" t="s">
        <v>1168</v>
      </c>
      <c r="C327" s="4" t="s">
        <v>12</v>
      </c>
      <c r="D327" s="1">
        <v>43945</v>
      </c>
      <c r="E327" s="4">
        <v>167209184</v>
      </c>
      <c r="F327" s="1">
        <v>43967</v>
      </c>
      <c r="G327" s="3">
        <v>9768</v>
      </c>
      <c r="H327" s="2">
        <v>255.28</v>
      </c>
      <c r="I327" s="2">
        <v>159.41999999999999</v>
      </c>
      <c r="J327" s="2">
        <v>2493575.04</v>
      </c>
      <c r="K327" s="2">
        <v>1557214.5599999998</v>
      </c>
    </row>
    <row r="328" spans="1:11" x14ac:dyDescent="0.3">
      <c r="A328" s="4" t="s">
        <v>336</v>
      </c>
      <c r="B328" s="4" t="s">
        <v>1172</v>
      </c>
      <c r="C328" s="4" t="s">
        <v>19</v>
      </c>
      <c r="D328" s="1">
        <v>44124</v>
      </c>
      <c r="E328" s="4">
        <v>177214038</v>
      </c>
      <c r="F328" s="1">
        <v>44141</v>
      </c>
      <c r="G328" s="3">
        <v>427</v>
      </c>
      <c r="H328" s="2">
        <v>437.2</v>
      </c>
      <c r="I328" s="2">
        <v>263.33</v>
      </c>
      <c r="J328" s="2">
        <v>186684.4</v>
      </c>
      <c r="K328" s="2">
        <v>112441.90999999999</v>
      </c>
    </row>
    <row r="329" spans="1:11" x14ac:dyDescent="0.3">
      <c r="A329" s="4" t="s">
        <v>337</v>
      </c>
      <c r="B329" s="4" t="s">
        <v>1160</v>
      </c>
      <c r="C329" s="4" t="s">
        <v>14</v>
      </c>
      <c r="D329" s="1">
        <v>44133</v>
      </c>
      <c r="E329" s="4">
        <v>417890584</v>
      </c>
      <c r="F329" s="1">
        <v>44141</v>
      </c>
      <c r="G329" s="3">
        <v>1965</v>
      </c>
      <c r="H329" s="2">
        <v>152.58000000000001</v>
      </c>
      <c r="I329" s="2">
        <v>97.44</v>
      </c>
      <c r="J329" s="2">
        <v>299819.7</v>
      </c>
      <c r="K329" s="2">
        <v>191469.6</v>
      </c>
    </row>
    <row r="330" spans="1:11" x14ac:dyDescent="0.3">
      <c r="A330" s="4" t="s">
        <v>338</v>
      </c>
      <c r="B330" s="4" t="s">
        <v>1180</v>
      </c>
      <c r="C330" s="4" t="s">
        <v>17</v>
      </c>
      <c r="D330" s="1">
        <v>44678</v>
      </c>
      <c r="E330" s="4">
        <v>408037650</v>
      </c>
      <c r="F330" s="1">
        <v>44678</v>
      </c>
      <c r="G330" s="3">
        <v>6263</v>
      </c>
      <c r="H330" s="2">
        <v>109.28</v>
      </c>
      <c r="I330" s="2">
        <v>35.840000000000003</v>
      </c>
      <c r="J330" s="2">
        <v>684420.64</v>
      </c>
      <c r="K330" s="2">
        <v>224465.92000000001</v>
      </c>
    </row>
    <row r="331" spans="1:11" x14ac:dyDescent="0.3">
      <c r="A331" s="4" t="s">
        <v>339</v>
      </c>
      <c r="B331" s="4" t="s">
        <v>1172</v>
      </c>
      <c r="C331" s="4" t="s">
        <v>14</v>
      </c>
      <c r="D331" s="1">
        <v>44528</v>
      </c>
      <c r="E331" s="4">
        <v>186766564</v>
      </c>
      <c r="F331" s="1">
        <v>44542</v>
      </c>
      <c r="G331" s="3">
        <v>7232</v>
      </c>
      <c r="H331" s="2">
        <v>437.2</v>
      </c>
      <c r="I331" s="2">
        <v>263.33</v>
      </c>
      <c r="J331" s="2">
        <v>3161830.4</v>
      </c>
      <c r="K331" s="2">
        <v>1904402.5599999998</v>
      </c>
    </row>
    <row r="332" spans="1:11" x14ac:dyDescent="0.3">
      <c r="A332" s="4" t="s">
        <v>340</v>
      </c>
      <c r="B332" s="4" t="s">
        <v>1162</v>
      </c>
      <c r="C332" s="4" t="s">
        <v>14</v>
      </c>
      <c r="D332" s="1">
        <v>44162</v>
      </c>
      <c r="E332" s="4">
        <v>763501155</v>
      </c>
      <c r="F332" s="1">
        <v>44167</v>
      </c>
      <c r="G332" s="3">
        <v>5813</v>
      </c>
      <c r="H332" s="2">
        <v>421.89</v>
      </c>
      <c r="I332" s="2">
        <v>364.69</v>
      </c>
      <c r="J332" s="2">
        <v>2452446.5699999998</v>
      </c>
      <c r="K332" s="2">
        <v>2119942.9700000002</v>
      </c>
    </row>
    <row r="333" spans="1:11" x14ac:dyDescent="0.3">
      <c r="A333" s="4" t="s">
        <v>341</v>
      </c>
      <c r="B333" s="4" t="s">
        <v>1170</v>
      </c>
      <c r="C333" s="4" t="s">
        <v>19</v>
      </c>
      <c r="D333" s="1">
        <v>44206</v>
      </c>
      <c r="E333" s="4">
        <v>967977750</v>
      </c>
      <c r="F333" s="1">
        <v>44249</v>
      </c>
      <c r="G333" s="3">
        <v>4982</v>
      </c>
      <c r="H333" s="2">
        <v>47.45</v>
      </c>
      <c r="I333" s="2">
        <v>31.79</v>
      </c>
      <c r="J333" s="2">
        <v>236395.90000000002</v>
      </c>
      <c r="K333" s="2">
        <v>158377.78</v>
      </c>
    </row>
    <row r="334" spans="1:11" x14ac:dyDescent="0.3">
      <c r="A334" s="4" t="s">
        <v>342</v>
      </c>
      <c r="B334" s="4" t="s">
        <v>1160</v>
      </c>
      <c r="C334" s="4" t="s">
        <v>12</v>
      </c>
      <c r="D334" s="1">
        <v>43868</v>
      </c>
      <c r="E334" s="4">
        <v>600245177</v>
      </c>
      <c r="F334" s="1">
        <v>43904</v>
      </c>
      <c r="G334" s="3">
        <v>4742</v>
      </c>
      <c r="H334" s="2">
        <v>152.58000000000001</v>
      </c>
      <c r="I334" s="2">
        <v>97.44</v>
      </c>
      <c r="J334" s="2">
        <v>723534.3600000001</v>
      </c>
      <c r="K334" s="2">
        <v>462060.48</v>
      </c>
    </row>
    <row r="335" spans="1:11" x14ac:dyDescent="0.3">
      <c r="A335" s="4" t="s">
        <v>343</v>
      </c>
      <c r="B335" s="4" t="s">
        <v>1172</v>
      </c>
      <c r="C335" s="4" t="s">
        <v>17</v>
      </c>
      <c r="D335" s="1">
        <v>44589</v>
      </c>
      <c r="E335" s="4">
        <v>880664765</v>
      </c>
      <c r="F335" s="1">
        <v>44595</v>
      </c>
      <c r="G335" s="3">
        <v>7129</v>
      </c>
      <c r="H335" s="2">
        <v>437.2</v>
      </c>
      <c r="I335" s="2">
        <v>263.33</v>
      </c>
      <c r="J335" s="2">
        <v>3116798.8</v>
      </c>
      <c r="K335" s="2">
        <v>1877279.5699999998</v>
      </c>
    </row>
    <row r="336" spans="1:11" x14ac:dyDescent="0.3">
      <c r="A336" s="4" t="s">
        <v>344</v>
      </c>
      <c r="B336" s="4" t="s">
        <v>1164</v>
      </c>
      <c r="C336" s="4" t="s">
        <v>19</v>
      </c>
      <c r="D336" s="1">
        <v>44306</v>
      </c>
      <c r="E336" s="4">
        <v>399910342</v>
      </c>
      <c r="F336" s="1">
        <v>44320</v>
      </c>
      <c r="G336" s="3">
        <v>1212</v>
      </c>
      <c r="H336" s="2">
        <v>205.7</v>
      </c>
      <c r="I336" s="2">
        <v>117.11</v>
      </c>
      <c r="J336" s="2">
        <v>249308.4</v>
      </c>
      <c r="K336" s="2">
        <v>141937.32</v>
      </c>
    </row>
    <row r="337" spans="1:11" x14ac:dyDescent="0.3">
      <c r="A337" s="4" t="s">
        <v>345</v>
      </c>
      <c r="B337" s="4" t="s">
        <v>1162</v>
      </c>
      <c r="C337" s="4" t="s">
        <v>19</v>
      </c>
      <c r="D337" s="1">
        <v>44231</v>
      </c>
      <c r="E337" s="4">
        <v>968968236</v>
      </c>
      <c r="F337" s="1">
        <v>44263</v>
      </c>
      <c r="G337" s="3">
        <v>8088</v>
      </c>
      <c r="H337" s="2">
        <v>421.89</v>
      </c>
      <c r="I337" s="2">
        <v>364.69</v>
      </c>
      <c r="J337" s="2">
        <v>3412246.32</v>
      </c>
      <c r="K337" s="2">
        <v>2949612.72</v>
      </c>
    </row>
    <row r="338" spans="1:11" x14ac:dyDescent="0.3">
      <c r="A338" s="4" t="s">
        <v>346</v>
      </c>
      <c r="B338" s="4" t="s">
        <v>1178</v>
      </c>
      <c r="C338" s="4" t="s">
        <v>17</v>
      </c>
      <c r="D338" s="1">
        <v>44159</v>
      </c>
      <c r="E338" s="4">
        <v>869137275</v>
      </c>
      <c r="F338" s="1">
        <v>44180</v>
      </c>
      <c r="G338" s="3">
        <v>5889</v>
      </c>
      <c r="H338" s="2">
        <v>154.06</v>
      </c>
      <c r="I338" s="2">
        <v>90.93</v>
      </c>
      <c r="J338" s="2">
        <v>907259.34</v>
      </c>
      <c r="K338" s="2">
        <v>535486.77</v>
      </c>
    </row>
    <row r="339" spans="1:11" x14ac:dyDescent="0.3">
      <c r="A339" s="4" t="s">
        <v>347</v>
      </c>
      <c r="B339" s="4" t="s">
        <v>1178</v>
      </c>
      <c r="C339" s="4" t="s">
        <v>12</v>
      </c>
      <c r="D339" s="1">
        <v>44031</v>
      </c>
      <c r="E339" s="4">
        <v>702028787</v>
      </c>
      <c r="F339" s="1">
        <v>44037</v>
      </c>
      <c r="G339" s="3">
        <v>4773</v>
      </c>
      <c r="H339" s="2">
        <v>154.06</v>
      </c>
      <c r="I339" s="2">
        <v>90.93</v>
      </c>
      <c r="J339" s="2">
        <v>735328.38</v>
      </c>
      <c r="K339" s="2">
        <v>434008.89</v>
      </c>
    </row>
    <row r="340" spans="1:11" x14ac:dyDescent="0.3">
      <c r="A340" s="4" t="s">
        <v>348</v>
      </c>
      <c r="B340" s="4" t="s">
        <v>1166</v>
      </c>
      <c r="C340" s="4" t="s">
        <v>17</v>
      </c>
      <c r="D340" s="1">
        <v>44458</v>
      </c>
      <c r="E340" s="4">
        <v>239566600</v>
      </c>
      <c r="F340" s="1">
        <v>44459</v>
      </c>
      <c r="G340" s="3">
        <v>1935</v>
      </c>
      <c r="H340" s="2">
        <v>9.33</v>
      </c>
      <c r="I340" s="2">
        <v>6.92</v>
      </c>
      <c r="J340" s="2">
        <v>18053.55</v>
      </c>
      <c r="K340" s="2">
        <v>13390.2</v>
      </c>
    </row>
    <row r="341" spans="1:11" x14ac:dyDescent="0.3">
      <c r="A341" s="4" t="s">
        <v>349</v>
      </c>
      <c r="B341" s="4" t="s">
        <v>1180</v>
      </c>
      <c r="C341" s="4" t="s">
        <v>12</v>
      </c>
      <c r="D341" s="1">
        <v>44109</v>
      </c>
      <c r="E341" s="4">
        <v>673987042</v>
      </c>
      <c r="F341" s="1">
        <v>44142</v>
      </c>
      <c r="G341" s="3">
        <v>6598</v>
      </c>
      <c r="H341" s="2">
        <v>109.28</v>
      </c>
      <c r="I341" s="2">
        <v>35.840000000000003</v>
      </c>
      <c r="J341" s="2">
        <v>721029.44000000006</v>
      </c>
      <c r="K341" s="2">
        <v>236472.32000000004</v>
      </c>
    </row>
    <row r="342" spans="1:11" x14ac:dyDescent="0.3">
      <c r="A342" s="4" t="s">
        <v>350</v>
      </c>
      <c r="B342" s="4" t="s">
        <v>1162</v>
      </c>
      <c r="C342" s="4" t="s">
        <v>19</v>
      </c>
      <c r="D342" s="1">
        <v>44409</v>
      </c>
      <c r="E342" s="4">
        <v>567838943</v>
      </c>
      <c r="F342" s="1">
        <v>44422</v>
      </c>
      <c r="G342" s="3">
        <v>5017</v>
      </c>
      <c r="H342" s="2">
        <v>421.89</v>
      </c>
      <c r="I342" s="2">
        <v>364.69</v>
      </c>
      <c r="J342" s="2">
        <v>2116622.13</v>
      </c>
      <c r="K342" s="2">
        <v>1829649.73</v>
      </c>
    </row>
    <row r="343" spans="1:11" x14ac:dyDescent="0.3">
      <c r="A343" s="4" t="s">
        <v>351</v>
      </c>
      <c r="B343" s="4" t="s">
        <v>1180</v>
      </c>
      <c r="C343" s="4" t="s">
        <v>12</v>
      </c>
      <c r="D343" s="1">
        <v>44843</v>
      </c>
      <c r="E343" s="4">
        <v>803983628</v>
      </c>
      <c r="F343" s="1">
        <v>44866</v>
      </c>
      <c r="G343" s="3">
        <v>5477</v>
      </c>
      <c r="H343" s="2">
        <v>109.28</v>
      </c>
      <c r="I343" s="2">
        <v>35.840000000000003</v>
      </c>
      <c r="J343" s="2">
        <v>598526.56000000006</v>
      </c>
      <c r="K343" s="2">
        <v>196295.68000000002</v>
      </c>
    </row>
    <row r="344" spans="1:11" x14ac:dyDescent="0.3">
      <c r="A344" s="4" t="s">
        <v>352</v>
      </c>
      <c r="B344" s="4" t="s">
        <v>1172</v>
      </c>
      <c r="C344" s="4" t="s">
        <v>19</v>
      </c>
      <c r="D344" s="1">
        <v>44521</v>
      </c>
      <c r="E344" s="4">
        <v>535594928</v>
      </c>
      <c r="F344" s="1">
        <v>44547</v>
      </c>
      <c r="G344" s="3">
        <v>3296</v>
      </c>
      <c r="H344" s="2">
        <v>437.2</v>
      </c>
      <c r="I344" s="2">
        <v>263.33</v>
      </c>
      <c r="J344" s="2">
        <v>1441011.2</v>
      </c>
      <c r="K344" s="2">
        <v>867935.67999999993</v>
      </c>
    </row>
    <row r="345" spans="1:11" x14ac:dyDescent="0.3">
      <c r="A345" s="4" t="s">
        <v>353</v>
      </c>
      <c r="B345" s="4" t="s">
        <v>1168</v>
      </c>
      <c r="C345" s="4" t="s">
        <v>19</v>
      </c>
      <c r="D345" s="1">
        <v>44787</v>
      </c>
      <c r="E345" s="4">
        <v>336159169</v>
      </c>
      <c r="F345" s="1">
        <v>44790</v>
      </c>
      <c r="G345" s="3">
        <v>5823</v>
      </c>
      <c r="H345" s="2">
        <v>255.28</v>
      </c>
      <c r="I345" s="2">
        <v>159.41999999999999</v>
      </c>
      <c r="J345" s="2">
        <v>1486495.44</v>
      </c>
      <c r="K345" s="2">
        <v>928302.65999999992</v>
      </c>
    </row>
    <row r="346" spans="1:11" x14ac:dyDescent="0.3">
      <c r="A346" s="4" t="s">
        <v>354</v>
      </c>
      <c r="B346" s="4" t="s">
        <v>1162</v>
      </c>
      <c r="C346" s="4" t="s">
        <v>12</v>
      </c>
      <c r="D346" s="1">
        <v>44521</v>
      </c>
      <c r="E346" s="4">
        <v>849475181</v>
      </c>
      <c r="F346" s="1">
        <v>44542</v>
      </c>
      <c r="G346" s="3">
        <v>7438</v>
      </c>
      <c r="H346" s="2">
        <v>421.89</v>
      </c>
      <c r="I346" s="2">
        <v>364.69</v>
      </c>
      <c r="J346" s="2">
        <v>3138017.82</v>
      </c>
      <c r="K346" s="2">
        <v>2712564.22</v>
      </c>
    </row>
    <row r="347" spans="1:11" x14ac:dyDescent="0.3">
      <c r="A347" s="4" t="s">
        <v>355</v>
      </c>
      <c r="B347" s="4" t="s">
        <v>1180</v>
      </c>
      <c r="C347" s="4" t="s">
        <v>19</v>
      </c>
      <c r="D347" s="1">
        <v>44840</v>
      </c>
      <c r="E347" s="4">
        <v>539654290</v>
      </c>
      <c r="F347" s="1">
        <v>44852</v>
      </c>
      <c r="G347" s="3">
        <v>4552</v>
      </c>
      <c r="H347" s="2">
        <v>109.28</v>
      </c>
      <c r="I347" s="2">
        <v>35.840000000000003</v>
      </c>
      <c r="J347" s="2">
        <v>497442.56</v>
      </c>
      <c r="K347" s="2">
        <v>163143.68000000002</v>
      </c>
    </row>
    <row r="348" spans="1:11" x14ac:dyDescent="0.3">
      <c r="A348" s="4" t="s">
        <v>356</v>
      </c>
      <c r="B348" s="4" t="s">
        <v>1164</v>
      </c>
      <c r="C348" s="4" t="s">
        <v>14</v>
      </c>
      <c r="D348" s="1">
        <v>44397</v>
      </c>
      <c r="E348" s="4">
        <v>641120326</v>
      </c>
      <c r="F348" s="1">
        <v>44442</v>
      </c>
      <c r="G348" s="3">
        <v>606</v>
      </c>
      <c r="H348" s="2">
        <v>205.7</v>
      </c>
      <c r="I348" s="2">
        <v>117.11</v>
      </c>
      <c r="J348" s="2">
        <v>124654.2</v>
      </c>
      <c r="K348" s="2">
        <v>70968.66</v>
      </c>
    </row>
    <row r="349" spans="1:11" x14ac:dyDescent="0.3">
      <c r="A349" s="4" t="s">
        <v>357</v>
      </c>
      <c r="B349" s="4" t="s">
        <v>1178</v>
      </c>
      <c r="C349" s="4" t="s">
        <v>12</v>
      </c>
      <c r="D349" s="1">
        <v>44078</v>
      </c>
      <c r="E349" s="4">
        <v>208609616</v>
      </c>
      <c r="F349" s="1">
        <v>44079</v>
      </c>
      <c r="G349" s="3">
        <v>1076</v>
      </c>
      <c r="H349" s="2">
        <v>154.06</v>
      </c>
      <c r="I349" s="2">
        <v>90.93</v>
      </c>
      <c r="J349" s="2">
        <v>165768.56</v>
      </c>
      <c r="K349" s="2">
        <v>97840.680000000008</v>
      </c>
    </row>
    <row r="350" spans="1:11" x14ac:dyDescent="0.3">
      <c r="A350" s="4" t="s">
        <v>358</v>
      </c>
      <c r="B350" s="4" t="s">
        <v>1162</v>
      </c>
      <c r="C350" s="4" t="s">
        <v>14</v>
      </c>
      <c r="D350" s="1">
        <v>44397</v>
      </c>
      <c r="E350" s="4">
        <v>167170989</v>
      </c>
      <c r="F350" s="1">
        <v>44399</v>
      </c>
      <c r="G350" s="3">
        <v>8465</v>
      </c>
      <c r="H350" s="2">
        <v>421.89</v>
      </c>
      <c r="I350" s="2">
        <v>364.69</v>
      </c>
      <c r="J350" s="2">
        <v>3571298.85</v>
      </c>
      <c r="K350" s="2">
        <v>3087100.85</v>
      </c>
    </row>
    <row r="351" spans="1:11" x14ac:dyDescent="0.3">
      <c r="A351" s="4" t="s">
        <v>359</v>
      </c>
      <c r="B351" s="4" t="s">
        <v>1162</v>
      </c>
      <c r="C351" s="4" t="s">
        <v>12</v>
      </c>
      <c r="D351" s="1">
        <v>43924</v>
      </c>
      <c r="E351" s="4">
        <v>162165772</v>
      </c>
      <c r="F351" s="1">
        <v>43957</v>
      </c>
      <c r="G351" s="3">
        <v>7311</v>
      </c>
      <c r="H351" s="2">
        <v>421.89</v>
      </c>
      <c r="I351" s="2">
        <v>364.69</v>
      </c>
      <c r="J351" s="2">
        <v>3084437.79</v>
      </c>
      <c r="K351" s="2">
        <v>2666248.59</v>
      </c>
    </row>
    <row r="352" spans="1:11" x14ac:dyDescent="0.3">
      <c r="A352" s="4" t="s">
        <v>360</v>
      </c>
      <c r="B352" s="4" t="s">
        <v>1172</v>
      </c>
      <c r="C352" s="4" t="s">
        <v>12</v>
      </c>
      <c r="D352" s="1">
        <v>43987</v>
      </c>
      <c r="E352" s="4">
        <v>809267795</v>
      </c>
      <c r="F352" s="1">
        <v>44002</v>
      </c>
      <c r="G352" s="3">
        <v>9179</v>
      </c>
      <c r="H352" s="2">
        <v>437.2</v>
      </c>
      <c r="I352" s="2">
        <v>263.33</v>
      </c>
      <c r="J352" s="2">
        <v>4013058.8</v>
      </c>
      <c r="K352" s="2">
        <v>2417106.0699999998</v>
      </c>
    </row>
    <row r="353" spans="1:11" x14ac:dyDescent="0.3">
      <c r="A353" s="4" t="s">
        <v>361</v>
      </c>
      <c r="B353" s="4" t="s">
        <v>1168</v>
      </c>
      <c r="C353" s="4" t="s">
        <v>12</v>
      </c>
      <c r="D353" s="1">
        <v>43973</v>
      </c>
      <c r="E353" s="4">
        <v>544463384</v>
      </c>
      <c r="F353" s="1">
        <v>44007</v>
      </c>
      <c r="G353" s="3">
        <v>7669</v>
      </c>
      <c r="H353" s="2">
        <v>255.28</v>
      </c>
      <c r="I353" s="2">
        <v>159.41999999999999</v>
      </c>
      <c r="J353" s="2">
        <v>1957742.32</v>
      </c>
      <c r="K353" s="2">
        <v>1222591.98</v>
      </c>
    </row>
    <row r="354" spans="1:11" x14ac:dyDescent="0.3">
      <c r="A354" s="4" t="s">
        <v>362</v>
      </c>
      <c r="B354" s="4" t="s">
        <v>1170</v>
      </c>
      <c r="C354" s="4" t="s">
        <v>14</v>
      </c>
      <c r="D354" s="1">
        <v>43938</v>
      </c>
      <c r="E354" s="4">
        <v>574051368</v>
      </c>
      <c r="F354" s="1">
        <v>43952</v>
      </c>
      <c r="G354" s="3">
        <v>3411</v>
      </c>
      <c r="H354" s="2">
        <v>47.45</v>
      </c>
      <c r="I354" s="2">
        <v>31.79</v>
      </c>
      <c r="J354" s="2">
        <v>161851.95000000001</v>
      </c>
      <c r="K354" s="2">
        <v>108435.69</v>
      </c>
    </row>
    <row r="355" spans="1:11" x14ac:dyDescent="0.3">
      <c r="A355" s="4" t="s">
        <v>363</v>
      </c>
      <c r="B355" s="4" t="s">
        <v>1166</v>
      </c>
      <c r="C355" s="4" t="s">
        <v>12</v>
      </c>
      <c r="D355" s="1">
        <v>44084</v>
      </c>
      <c r="E355" s="4">
        <v>824643075</v>
      </c>
      <c r="F355" s="1">
        <v>44127</v>
      </c>
      <c r="G355" s="3">
        <v>9066</v>
      </c>
      <c r="H355" s="2">
        <v>9.33</v>
      </c>
      <c r="I355" s="2">
        <v>6.92</v>
      </c>
      <c r="J355" s="2">
        <v>84585.78</v>
      </c>
      <c r="K355" s="2">
        <v>62736.72</v>
      </c>
    </row>
    <row r="356" spans="1:11" x14ac:dyDescent="0.3">
      <c r="A356" s="4" t="s">
        <v>364</v>
      </c>
      <c r="B356" s="4" t="s">
        <v>1174</v>
      </c>
      <c r="C356" s="4" t="s">
        <v>19</v>
      </c>
      <c r="D356" s="1">
        <v>44238</v>
      </c>
      <c r="E356" s="4">
        <v>393162333</v>
      </c>
      <c r="F356" s="1">
        <v>44284</v>
      </c>
      <c r="G356" s="3">
        <v>4326</v>
      </c>
      <c r="H356" s="2">
        <v>81.73</v>
      </c>
      <c r="I356" s="2">
        <v>56.67</v>
      </c>
      <c r="J356" s="2">
        <v>353563.98000000004</v>
      </c>
      <c r="K356" s="2">
        <v>245154.42</v>
      </c>
    </row>
    <row r="357" spans="1:11" x14ac:dyDescent="0.3">
      <c r="A357" s="4" t="s">
        <v>365</v>
      </c>
      <c r="B357" s="4" t="s">
        <v>1166</v>
      </c>
      <c r="C357" s="4" t="s">
        <v>14</v>
      </c>
      <c r="D357" s="1">
        <v>44375</v>
      </c>
      <c r="E357" s="4">
        <v>696845471</v>
      </c>
      <c r="F357" s="1">
        <v>44385</v>
      </c>
      <c r="G357" s="3">
        <v>915</v>
      </c>
      <c r="H357" s="2">
        <v>9.33</v>
      </c>
      <c r="I357" s="2">
        <v>6.92</v>
      </c>
      <c r="J357" s="2">
        <v>8536.9500000000007</v>
      </c>
      <c r="K357" s="2">
        <v>6331.8</v>
      </c>
    </row>
    <row r="358" spans="1:11" x14ac:dyDescent="0.3">
      <c r="A358" s="4" t="s">
        <v>228</v>
      </c>
      <c r="B358" s="4" t="s">
        <v>1180</v>
      </c>
      <c r="C358" s="4" t="s">
        <v>14</v>
      </c>
      <c r="D358" s="1">
        <v>44092</v>
      </c>
      <c r="E358" s="4">
        <v>523241317</v>
      </c>
      <c r="F358" s="1">
        <v>44107</v>
      </c>
      <c r="G358" s="3">
        <v>7588</v>
      </c>
      <c r="H358" s="2">
        <v>109.28</v>
      </c>
      <c r="I358" s="2">
        <v>35.840000000000003</v>
      </c>
      <c r="J358" s="2">
        <v>829216.64</v>
      </c>
      <c r="K358" s="2">
        <v>271953.92000000004</v>
      </c>
    </row>
    <row r="359" spans="1:11" x14ac:dyDescent="0.3">
      <c r="A359" s="4" t="s">
        <v>366</v>
      </c>
      <c r="B359" s="4" t="s">
        <v>1164</v>
      </c>
      <c r="C359" s="4" t="s">
        <v>17</v>
      </c>
      <c r="D359" s="1">
        <v>44180</v>
      </c>
      <c r="E359" s="4">
        <v>980211198</v>
      </c>
      <c r="F359" s="1">
        <v>44180</v>
      </c>
      <c r="G359" s="3">
        <v>5131</v>
      </c>
      <c r="H359" s="2">
        <v>205.7</v>
      </c>
      <c r="I359" s="2">
        <v>117.11</v>
      </c>
      <c r="J359" s="2">
        <v>1055446.7</v>
      </c>
      <c r="K359" s="2">
        <v>600891.41</v>
      </c>
    </row>
    <row r="360" spans="1:11" x14ac:dyDescent="0.3">
      <c r="A360" s="4" t="s">
        <v>367</v>
      </c>
      <c r="B360" s="4" t="s">
        <v>1182</v>
      </c>
      <c r="C360" s="4" t="s">
        <v>17</v>
      </c>
      <c r="D360" s="1">
        <v>44009</v>
      </c>
      <c r="E360" s="4">
        <v>545928943</v>
      </c>
      <c r="F360" s="1">
        <v>44053</v>
      </c>
      <c r="G360" s="3">
        <v>1361</v>
      </c>
      <c r="H360" s="2">
        <v>668.27</v>
      </c>
      <c r="I360" s="2">
        <v>502.54</v>
      </c>
      <c r="J360" s="2">
        <v>909515.47</v>
      </c>
      <c r="K360" s="2">
        <v>683956.94000000006</v>
      </c>
    </row>
    <row r="361" spans="1:11" x14ac:dyDescent="0.3">
      <c r="A361" s="4" t="s">
        <v>368</v>
      </c>
      <c r="B361" s="4" t="s">
        <v>1178</v>
      </c>
      <c r="C361" s="4" t="s">
        <v>17</v>
      </c>
      <c r="D361" s="1">
        <v>44140</v>
      </c>
      <c r="E361" s="4">
        <v>918880879</v>
      </c>
      <c r="F361" s="1">
        <v>44178</v>
      </c>
      <c r="G361" s="3">
        <v>6127</v>
      </c>
      <c r="H361" s="2">
        <v>154.06</v>
      </c>
      <c r="I361" s="2">
        <v>90.93</v>
      </c>
      <c r="J361" s="2">
        <v>943925.62</v>
      </c>
      <c r="K361" s="2">
        <v>557128.11</v>
      </c>
    </row>
    <row r="362" spans="1:11" x14ac:dyDescent="0.3">
      <c r="A362" s="4" t="s">
        <v>369</v>
      </c>
      <c r="B362" s="4" t="s">
        <v>1178</v>
      </c>
      <c r="C362" s="4" t="s">
        <v>14</v>
      </c>
      <c r="D362" s="1">
        <v>44760</v>
      </c>
      <c r="E362" s="4">
        <v>267865836</v>
      </c>
      <c r="F362" s="1">
        <v>44772</v>
      </c>
      <c r="G362" s="3">
        <v>6308</v>
      </c>
      <c r="H362" s="2">
        <v>154.06</v>
      </c>
      <c r="I362" s="2">
        <v>90.93</v>
      </c>
      <c r="J362" s="2">
        <v>971810.48</v>
      </c>
      <c r="K362" s="2">
        <v>573586.44000000006</v>
      </c>
    </row>
    <row r="363" spans="1:11" x14ac:dyDescent="0.3">
      <c r="A363" s="4" t="s">
        <v>370</v>
      </c>
      <c r="B363" s="4" t="s">
        <v>1176</v>
      </c>
      <c r="C363" s="4" t="s">
        <v>14</v>
      </c>
      <c r="D363" s="1">
        <v>44112</v>
      </c>
      <c r="E363" s="4">
        <v>881995141</v>
      </c>
      <c r="F363" s="1">
        <v>44124</v>
      </c>
      <c r="G363" s="3">
        <v>817</v>
      </c>
      <c r="H363" s="2">
        <v>651.21</v>
      </c>
      <c r="I363" s="2">
        <v>524.96</v>
      </c>
      <c r="J363" s="2">
        <v>532038.57000000007</v>
      </c>
      <c r="K363" s="2">
        <v>428892.32</v>
      </c>
    </row>
    <row r="364" spans="1:11" x14ac:dyDescent="0.3">
      <c r="A364" s="4" t="s">
        <v>371</v>
      </c>
      <c r="B364" s="4" t="s">
        <v>1174</v>
      </c>
      <c r="C364" s="4" t="s">
        <v>12</v>
      </c>
      <c r="D364" s="1">
        <v>44244</v>
      </c>
      <c r="E364" s="4">
        <v>620692622</v>
      </c>
      <c r="F364" s="1">
        <v>44261</v>
      </c>
      <c r="G364" s="3">
        <v>5595</v>
      </c>
      <c r="H364" s="2">
        <v>81.73</v>
      </c>
      <c r="I364" s="2">
        <v>56.67</v>
      </c>
      <c r="J364" s="2">
        <v>457279.35000000003</v>
      </c>
      <c r="K364" s="2">
        <v>317068.65000000002</v>
      </c>
    </row>
    <row r="365" spans="1:11" x14ac:dyDescent="0.3">
      <c r="A365" s="4" t="s">
        <v>372</v>
      </c>
      <c r="B365" s="4" t="s">
        <v>1162</v>
      </c>
      <c r="C365" s="4" t="s">
        <v>19</v>
      </c>
      <c r="D365" s="1">
        <v>44215</v>
      </c>
      <c r="E365" s="4">
        <v>563694608</v>
      </c>
      <c r="F365" s="1">
        <v>44238</v>
      </c>
      <c r="G365" s="3">
        <v>8616</v>
      </c>
      <c r="H365" s="2">
        <v>421.89</v>
      </c>
      <c r="I365" s="2">
        <v>364.69</v>
      </c>
      <c r="J365" s="2">
        <v>3635004.2399999998</v>
      </c>
      <c r="K365" s="2">
        <v>3142169.04</v>
      </c>
    </row>
    <row r="366" spans="1:11" x14ac:dyDescent="0.3">
      <c r="A366" s="4" t="s">
        <v>373</v>
      </c>
      <c r="B366" s="4" t="s">
        <v>1170</v>
      </c>
      <c r="C366" s="4" t="s">
        <v>14</v>
      </c>
      <c r="D366" s="1">
        <v>44799</v>
      </c>
      <c r="E366" s="4">
        <v>961049926</v>
      </c>
      <c r="F366" s="1">
        <v>44813</v>
      </c>
      <c r="G366" s="3">
        <v>4885</v>
      </c>
      <c r="H366" s="2">
        <v>47.45</v>
      </c>
      <c r="I366" s="2">
        <v>31.79</v>
      </c>
      <c r="J366" s="2">
        <v>231793.25</v>
      </c>
      <c r="K366" s="2">
        <v>155294.15</v>
      </c>
    </row>
    <row r="367" spans="1:11" x14ac:dyDescent="0.3">
      <c r="A367" s="4" t="s">
        <v>374</v>
      </c>
      <c r="B367" s="4" t="s">
        <v>1176</v>
      </c>
      <c r="C367" s="4" t="s">
        <v>17</v>
      </c>
      <c r="D367" s="1">
        <v>44828</v>
      </c>
      <c r="E367" s="4">
        <v>783119904</v>
      </c>
      <c r="F367" s="1">
        <v>44864</v>
      </c>
      <c r="G367" s="3">
        <v>1437</v>
      </c>
      <c r="H367" s="2">
        <v>651.21</v>
      </c>
      <c r="I367" s="2">
        <v>524.96</v>
      </c>
      <c r="J367" s="2">
        <v>935788.77</v>
      </c>
      <c r="K367" s="2">
        <v>754367.52</v>
      </c>
    </row>
    <row r="368" spans="1:11" x14ac:dyDescent="0.3">
      <c r="A368" s="4" t="s">
        <v>375</v>
      </c>
      <c r="B368" s="4" t="s">
        <v>1174</v>
      </c>
      <c r="C368" s="4" t="s">
        <v>14</v>
      </c>
      <c r="D368" s="1">
        <v>44847</v>
      </c>
      <c r="E368" s="4">
        <v>870578372</v>
      </c>
      <c r="F368" s="1">
        <v>44871</v>
      </c>
      <c r="G368" s="3">
        <v>2341</v>
      </c>
      <c r="H368" s="2">
        <v>81.73</v>
      </c>
      <c r="I368" s="2">
        <v>56.67</v>
      </c>
      <c r="J368" s="2">
        <v>191329.93000000002</v>
      </c>
      <c r="K368" s="2">
        <v>132664.47</v>
      </c>
    </row>
    <row r="369" spans="1:11" x14ac:dyDescent="0.3">
      <c r="A369" s="4" t="s">
        <v>376</v>
      </c>
      <c r="B369" s="4" t="s">
        <v>1160</v>
      </c>
      <c r="C369" s="4" t="s">
        <v>19</v>
      </c>
      <c r="D369" s="1">
        <v>44503</v>
      </c>
      <c r="E369" s="4">
        <v>784411656</v>
      </c>
      <c r="F369" s="1">
        <v>44529</v>
      </c>
      <c r="G369" s="3">
        <v>3695</v>
      </c>
      <c r="H369" s="2">
        <v>152.58000000000001</v>
      </c>
      <c r="I369" s="2">
        <v>97.44</v>
      </c>
      <c r="J369" s="2">
        <v>563783.10000000009</v>
      </c>
      <c r="K369" s="2">
        <v>360040.8</v>
      </c>
    </row>
    <row r="370" spans="1:11" x14ac:dyDescent="0.3">
      <c r="A370" s="4" t="s">
        <v>377</v>
      </c>
      <c r="B370" s="4" t="s">
        <v>1182</v>
      </c>
      <c r="C370" s="4" t="s">
        <v>12</v>
      </c>
      <c r="D370" s="1">
        <v>44114</v>
      </c>
      <c r="E370" s="4">
        <v>155918586</v>
      </c>
      <c r="F370" s="1">
        <v>44142</v>
      </c>
      <c r="G370" s="3">
        <v>8629</v>
      </c>
      <c r="H370" s="2">
        <v>668.27</v>
      </c>
      <c r="I370" s="2">
        <v>502.54</v>
      </c>
      <c r="J370" s="2">
        <v>5766501.8300000001</v>
      </c>
      <c r="K370" s="2">
        <v>4336417.66</v>
      </c>
    </row>
    <row r="371" spans="1:11" x14ac:dyDescent="0.3">
      <c r="A371" s="4" t="s">
        <v>378</v>
      </c>
      <c r="B371" s="4" t="s">
        <v>1172</v>
      </c>
      <c r="C371" s="4" t="s">
        <v>12</v>
      </c>
      <c r="D371" s="1">
        <v>44142</v>
      </c>
      <c r="E371" s="4">
        <v>936710488</v>
      </c>
      <c r="F371" s="1">
        <v>44173</v>
      </c>
      <c r="G371" s="3">
        <v>2304</v>
      </c>
      <c r="H371" s="2">
        <v>437.2</v>
      </c>
      <c r="I371" s="2">
        <v>263.33</v>
      </c>
      <c r="J371" s="2">
        <v>1007308.7999999999</v>
      </c>
      <c r="K371" s="2">
        <v>606712.31999999995</v>
      </c>
    </row>
    <row r="372" spans="1:11" x14ac:dyDescent="0.3">
      <c r="A372" s="4" t="s">
        <v>379</v>
      </c>
      <c r="B372" s="4" t="s">
        <v>1160</v>
      </c>
      <c r="C372" s="4" t="s">
        <v>19</v>
      </c>
      <c r="D372" s="1">
        <v>44675</v>
      </c>
      <c r="E372" s="4">
        <v>648711192</v>
      </c>
      <c r="F372" s="1">
        <v>44697</v>
      </c>
      <c r="G372" s="3">
        <v>6912</v>
      </c>
      <c r="H372" s="2">
        <v>152.58000000000001</v>
      </c>
      <c r="I372" s="2">
        <v>97.44</v>
      </c>
      <c r="J372" s="2">
        <v>1054632.9600000002</v>
      </c>
      <c r="K372" s="2">
        <v>673505.28000000003</v>
      </c>
    </row>
    <row r="373" spans="1:11" x14ac:dyDescent="0.3">
      <c r="A373" s="4" t="s">
        <v>380</v>
      </c>
      <c r="B373" s="4" t="s">
        <v>1182</v>
      </c>
      <c r="C373" s="4" t="s">
        <v>12</v>
      </c>
      <c r="D373" s="1">
        <v>43862</v>
      </c>
      <c r="E373" s="4">
        <v>934157025</v>
      </c>
      <c r="F373" s="1">
        <v>43864</v>
      </c>
      <c r="G373" s="3">
        <v>6678</v>
      </c>
      <c r="H373" s="2">
        <v>668.27</v>
      </c>
      <c r="I373" s="2">
        <v>502.54</v>
      </c>
      <c r="J373" s="2">
        <v>4462707.0599999996</v>
      </c>
      <c r="K373" s="2">
        <v>3355962.12</v>
      </c>
    </row>
    <row r="374" spans="1:11" x14ac:dyDescent="0.3">
      <c r="A374" s="4" t="s">
        <v>381</v>
      </c>
      <c r="B374" s="4" t="s">
        <v>1180</v>
      </c>
      <c r="C374" s="4" t="s">
        <v>12</v>
      </c>
      <c r="D374" s="1">
        <v>44692</v>
      </c>
      <c r="E374" s="4">
        <v>805596816</v>
      </c>
      <c r="F374" s="1">
        <v>44704</v>
      </c>
      <c r="G374" s="3">
        <v>2855</v>
      </c>
      <c r="H374" s="2">
        <v>109.28</v>
      </c>
      <c r="I374" s="2">
        <v>35.840000000000003</v>
      </c>
      <c r="J374" s="2">
        <v>311994.40000000002</v>
      </c>
      <c r="K374" s="2">
        <v>102323.20000000001</v>
      </c>
    </row>
    <row r="375" spans="1:11" x14ac:dyDescent="0.3">
      <c r="A375" s="4" t="s">
        <v>191</v>
      </c>
      <c r="B375" s="4" t="s">
        <v>1164</v>
      </c>
      <c r="C375" s="4" t="s">
        <v>14</v>
      </c>
      <c r="D375" s="1">
        <v>44042</v>
      </c>
      <c r="E375" s="4">
        <v>695891892</v>
      </c>
      <c r="F375" s="1">
        <v>44046</v>
      </c>
      <c r="G375" s="3">
        <v>8730</v>
      </c>
      <c r="H375" s="2">
        <v>205.7</v>
      </c>
      <c r="I375" s="2">
        <v>117.11</v>
      </c>
      <c r="J375" s="2">
        <v>1795761</v>
      </c>
      <c r="K375" s="2">
        <v>1022370.3</v>
      </c>
    </row>
    <row r="376" spans="1:11" x14ac:dyDescent="0.3">
      <c r="A376" s="4" t="s">
        <v>382</v>
      </c>
      <c r="B376" s="4" t="s">
        <v>1174</v>
      </c>
      <c r="C376" s="4" t="s">
        <v>17</v>
      </c>
      <c r="D376" s="1">
        <v>44675</v>
      </c>
      <c r="E376" s="4">
        <v>208216083</v>
      </c>
      <c r="F376" s="1">
        <v>44694</v>
      </c>
      <c r="G376" s="3">
        <v>4621</v>
      </c>
      <c r="H376" s="2">
        <v>81.73</v>
      </c>
      <c r="I376" s="2">
        <v>56.67</v>
      </c>
      <c r="J376" s="2">
        <v>377674.33</v>
      </c>
      <c r="K376" s="2">
        <v>261872.07</v>
      </c>
    </row>
    <row r="377" spans="1:11" x14ac:dyDescent="0.3">
      <c r="A377" s="4" t="s">
        <v>383</v>
      </c>
      <c r="B377" s="4" t="s">
        <v>1164</v>
      </c>
      <c r="C377" s="4" t="s">
        <v>12</v>
      </c>
      <c r="D377" s="1">
        <v>44280</v>
      </c>
      <c r="E377" s="4">
        <v>366055715</v>
      </c>
      <c r="F377" s="1">
        <v>44291</v>
      </c>
      <c r="G377" s="3">
        <v>2875</v>
      </c>
      <c r="H377" s="2">
        <v>205.7</v>
      </c>
      <c r="I377" s="2">
        <v>117.11</v>
      </c>
      <c r="J377" s="2">
        <v>591387.5</v>
      </c>
      <c r="K377" s="2">
        <v>336691.25</v>
      </c>
    </row>
    <row r="378" spans="1:11" x14ac:dyDescent="0.3">
      <c r="A378" s="4" t="s">
        <v>384</v>
      </c>
      <c r="B378" s="4" t="s">
        <v>1162</v>
      </c>
      <c r="C378" s="4" t="s">
        <v>17</v>
      </c>
      <c r="D378" s="1">
        <v>44350</v>
      </c>
      <c r="E378" s="4">
        <v>463209617</v>
      </c>
      <c r="F378" s="1">
        <v>44374</v>
      </c>
      <c r="G378" s="3">
        <v>2874</v>
      </c>
      <c r="H378" s="2">
        <v>421.89</v>
      </c>
      <c r="I378" s="2">
        <v>364.69</v>
      </c>
      <c r="J378" s="2">
        <v>1212511.8599999999</v>
      </c>
      <c r="K378" s="2">
        <v>1048119.0599999999</v>
      </c>
    </row>
    <row r="379" spans="1:11" x14ac:dyDescent="0.3">
      <c r="A379" s="4" t="s">
        <v>385</v>
      </c>
      <c r="B379" s="4" t="s">
        <v>1172</v>
      </c>
      <c r="C379" s="4" t="s">
        <v>19</v>
      </c>
      <c r="D379" s="1">
        <v>44433</v>
      </c>
      <c r="E379" s="4">
        <v>313789117</v>
      </c>
      <c r="F379" s="1">
        <v>44446</v>
      </c>
      <c r="G379" s="3">
        <v>6028</v>
      </c>
      <c r="H379" s="2">
        <v>437.2</v>
      </c>
      <c r="I379" s="2">
        <v>263.33</v>
      </c>
      <c r="J379" s="2">
        <v>2635441.6</v>
      </c>
      <c r="K379" s="2">
        <v>1587353.24</v>
      </c>
    </row>
    <row r="380" spans="1:11" x14ac:dyDescent="0.3">
      <c r="A380" s="4" t="s">
        <v>386</v>
      </c>
      <c r="B380" s="4" t="s">
        <v>1164</v>
      </c>
      <c r="C380" s="4" t="s">
        <v>12</v>
      </c>
      <c r="D380" s="1">
        <v>44748</v>
      </c>
      <c r="E380" s="4">
        <v>702218043</v>
      </c>
      <c r="F380" s="1">
        <v>44771</v>
      </c>
      <c r="G380" s="3">
        <v>779</v>
      </c>
      <c r="H380" s="2">
        <v>205.7</v>
      </c>
      <c r="I380" s="2">
        <v>117.11</v>
      </c>
      <c r="J380" s="2">
        <v>160240.29999999999</v>
      </c>
      <c r="K380" s="2">
        <v>91228.69</v>
      </c>
    </row>
    <row r="381" spans="1:11" x14ac:dyDescent="0.3">
      <c r="A381" s="4" t="s">
        <v>387</v>
      </c>
      <c r="B381" s="4" t="s">
        <v>1162</v>
      </c>
      <c r="C381" s="4" t="s">
        <v>14</v>
      </c>
      <c r="D381" s="1">
        <v>44618</v>
      </c>
      <c r="E381" s="4">
        <v>233232724</v>
      </c>
      <c r="F381" s="1">
        <v>44628</v>
      </c>
      <c r="G381" s="3">
        <v>7601</v>
      </c>
      <c r="H381" s="2">
        <v>421.89</v>
      </c>
      <c r="I381" s="2">
        <v>364.69</v>
      </c>
      <c r="J381" s="2">
        <v>3206785.8899999997</v>
      </c>
      <c r="K381" s="2">
        <v>2772008.69</v>
      </c>
    </row>
    <row r="382" spans="1:11" x14ac:dyDescent="0.3">
      <c r="A382" s="4" t="s">
        <v>388</v>
      </c>
      <c r="B382" s="4" t="s">
        <v>1168</v>
      </c>
      <c r="C382" s="4" t="s">
        <v>17</v>
      </c>
      <c r="D382" s="1">
        <v>44032</v>
      </c>
      <c r="E382" s="4">
        <v>281881988</v>
      </c>
      <c r="F382" s="1">
        <v>44054</v>
      </c>
      <c r="G382" s="3">
        <v>3999</v>
      </c>
      <c r="H382" s="2">
        <v>255.28</v>
      </c>
      <c r="I382" s="2">
        <v>159.41999999999999</v>
      </c>
      <c r="J382" s="2">
        <v>1020864.72</v>
      </c>
      <c r="K382" s="2">
        <v>637520.57999999996</v>
      </c>
    </row>
    <row r="383" spans="1:11" x14ac:dyDescent="0.3">
      <c r="A383" s="4" t="s">
        <v>389</v>
      </c>
      <c r="B383" s="4" t="s">
        <v>1160</v>
      </c>
      <c r="C383" s="4" t="s">
        <v>19</v>
      </c>
      <c r="D383" s="1">
        <v>44171</v>
      </c>
      <c r="E383" s="4">
        <v>943527162</v>
      </c>
      <c r="F383" s="1">
        <v>44187</v>
      </c>
      <c r="G383" s="3">
        <v>9509</v>
      </c>
      <c r="H383" s="2">
        <v>152.58000000000001</v>
      </c>
      <c r="I383" s="2">
        <v>97.44</v>
      </c>
      <c r="J383" s="2">
        <v>1450883.2200000002</v>
      </c>
      <c r="K383" s="2">
        <v>926556.96</v>
      </c>
    </row>
    <row r="384" spans="1:11" x14ac:dyDescent="0.3">
      <c r="A384" s="4" t="s">
        <v>390</v>
      </c>
      <c r="B384" s="4" t="s">
        <v>1162</v>
      </c>
      <c r="C384" s="4" t="s">
        <v>19</v>
      </c>
      <c r="D384" s="1">
        <v>44797</v>
      </c>
      <c r="E384" s="4">
        <v>583842074</v>
      </c>
      <c r="F384" s="1">
        <v>44838</v>
      </c>
      <c r="G384" s="3">
        <v>699</v>
      </c>
      <c r="H384" s="2">
        <v>421.89</v>
      </c>
      <c r="I384" s="2">
        <v>364.69</v>
      </c>
      <c r="J384" s="2">
        <v>294901.11</v>
      </c>
      <c r="K384" s="2">
        <v>254918.31</v>
      </c>
    </row>
    <row r="385" spans="1:11" x14ac:dyDescent="0.3">
      <c r="A385" s="4" t="s">
        <v>391</v>
      </c>
      <c r="B385" s="4" t="s">
        <v>1168</v>
      </c>
      <c r="C385" s="4" t="s">
        <v>14</v>
      </c>
      <c r="D385" s="1">
        <v>44776</v>
      </c>
      <c r="E385" s="4">
        <v>788813054</v>
      </c>
      <c r="F385" s="1">
        <v>44782</v>
      </c>
      <c r="G385" s="3">
        <v>6167</v>
      </c>
      <c r="H385" s="2">
        <v>255.28</v>
      </c>
      <c r="I385" s="2">
        <v>159.41999999999999</v>
      </c>
      <c r="J385" s="2">
        <v>1574311.76</v>
      </c>
      <c r="K385" s="2">
        <v>983143.1399999999</v>
      </c>
    </row>
    <row r="386" spans="1:11" x14ac:dyDescent="0.3">
      <c r="A386" s="4" t="s">
        <v>392</v>
      </c>
      <c r="B386" s="4" t="s">
        <v>1174</v>
      </c>
      <c r="C386" s="4" t="s">
        <v>12</v>
      </c>
      <c r="D386" s="1">
        <v>44685</v>
      </c>
      <c r="E386" s="4">
        <v>514738929</v>
      </c>
      <c r="F386" s="1">
        <v>44697</v>
      </c>
      <c r="G386" s="3">
        <v>1543</v>
      </c>
      <c r="H386" s="2">
        <v>81.73</v>
      </c>
      <c r="I386" s="2">
        <v>56.67</v>
      </c>
      <c r="J386" s="2">
        <v>126109.39</v>
      </c>
      <c r="K386" s="2">
        <v>87441.81</v>
      </c>
    </row>
    <row r="387" spans="1:11" x14ac:dyDescent="0.3">
      <c r="A387" s="4" t="s">
        <v>393</v>
      </c>
      <c r="B387" s="4" t="s">
        <v>1166</v>
      </c>
      <c r="C387" s="4" t="s">
        <v>19</v>
      </c>
      <c r="D387" s="1">
        <v>44203</v>
      </c>
      <c r="E387" s="4">
        <v>138231027</v>
      </c>
      <c r="F387" s="1">
        <v>44224</v>
      </c>
      <c r="G387" s="3">
        <v>4487</v>
      </c>
      <c r="H387" s="2">
        <v>9.33</v>
      </c>
      <c r="I387" s="2">
        <v>6.92</v>
      </c>
      <c r="J387" s="2">
        <v>41863.71</v>
      </c>
      <c r="K387" s="2">
        <v>31050.04</v>
      </c>
    </row>
    <row r="388" spans="1:11" x14ac:dyDescent="0.3">
      <c r="A388" s="4" t="s">
        <v>394</v>
      </c>
      <c r="B388" s="4" t="s">
        <v>1164</v>
      </c>
      <c r="C388" s="4" t="s">
        <v>12</v>
      </c>
      <c r="D388" s="1">
        <v>44725</v>
      </c>
      <c r="E388" s="4">
        <v>106213176</v>
      </c>
      <c r="F388" s="1">
        <v>44757</v>
      </c>
      <c r="G388" s="3">
        <v>9694</v>
      </c>
      <c r="H388" s="2">
        <v>205.7</v>
      </c>
      <c r="I388" s="2">
        <v>117.11</v>
      </c>
      <c r="J388" s="2">
        <v>1994055.7999999998</v>
      </c>
      <c r="K388" s="2">
        <v>1135264.3400000001</v>
      </c>
    </row>
    <row r="389" spans="1:11" x14ac:dyDescent="0.3">
      <c r="A389" s="4" t="s">
        <v>395</v>
      </c>
      <c r="B389" s="4" t="s">
        <v>1160</v>
      </c>
      <c r="C389" s="4" t="s">
        <v>19</v>
      </c>
      <c r="D389" s="1">
        <v>44657</v>
      </c>
      <c r="E389" s="4">
        <v>485921704</v>
      </c>
      <c r="F389" s="1">
        <v>44666</v>
      </c>
      <c r="G389" s="3">
        <v>3885</v>
      </c>
      <c r="H389" s="2">
        <v>152.58000000000001</v>
      </c>
      <c r="I389" s="2">
        <v>97.44</v>
      </c>
      <c r="J389" s="2">
        <v>592773.30000000005</v>
      </c>
      <c r="K389" s="2">
        <v>378554.39999999997</v>
      </c>
    </row>
    <row r="390" spans="1:11" x14ac:dyDescent="0.3">
      <c r="A390" s="4" t="s">
        <v>396</v>
      </c>
      <c r="B390" s="4" t="s">
        <v>1176</v>
      </c>
      <c r="C390" s="4" t="s">
        <v>14</v>
      </c>
      <c r="D390" s="1">
        <v>44122</v>
      </c>
      <c r="E390" s="4">
        <v>514905440</v>
      </c>
      <c r="F390" s="1">
        <v>44126</v>
      </c>
      <c r="G390" s="3">
        <v>817</v>
      </c>
      <c r="H390" s="2">
        <v>651.21</v>
      </c>
      <c r="I390" s="2">
        <v>524.96</v>
      </c>
      <c r="J390" s="2">
        <v>532038.57000000007</v>
      </c>
      <c r="K390" s="2">
        <v>428892.32</v>
      </c>
    </row>
    <row r="391" spans="1:11" x14ac:dyDescent="0.3">
      <c r="A391" s="4" t="s">
        <v>397</v>
      </c>
      <c r="B391" s="4" t="s">
        <v>1174</v>
      </c>
      <c r="C391" s="4" t="s">
        <v>17</v>
      </c>
      <c r="D391" s="1">
        <v>44431</v>
      </c>
      <c r="E391" s="4">
        <v>851025712</v>
      </c>
      <c r="F391" s="1">
        <v>44466</v>
      </c>
      <c r="G391" s="3">
        <v>6275</v>
      </c>
      <c r="H391" s="2">
        <v>81.73</v>
      </c>
      <c r="I391" s="2">
        <v>56.67</v>
      </c>
      <c r="J391" s="2">
        <v>512855.75</v>
      </c>
      <c r="K391" s="2">
        <v>355604.25</v>
      </c>
    </row>
    <row r="392" spans="1:11" x14ac:dyDescent="0.3">
      <c r="A392" s="4" t="s">
        <v>398</v>
      </c>
      <c r="B392" s="4" t="s">
        <v>1168</v>
      </c>
      <c r="C392" s="4" t="s">
        <v>17</v>
      </c>
      <c r="D392" s="1">
        <v>44432</v>
      </c>
      <c r="E392" s="4">
        <v>422456347</v>
      </c>
      <c r="F392" s="1">
        <v>44434</v>
      </c>
      <c r="G392" s="3">
        <v>3076</v>
      </c>
      <c r="H392" s="2">
        <v>255.28</v>
      </c>
      <c r="I392" s="2">
        <v>159.41999999999999</v>
      </c>
      <c r="J392" s="2">
        <v>785241.28</v>
      </c>
      <c r="K392" s="2">
        <v>490375.92</v>
      </c>
    </row>
    <row r="393" spans="1:11" x14ac:dyDescent="0.3">
      <c r="A393" s="4" t="s">
        <v>399</v>
      </c>
      <c r="B393" s="4" t="s">
        <v>1172</v>
      </c>
      <c r="C393" s="4" t="s">
        <v>14</v>
      </c>
      <c r="D393" s="1">
        <v>44164</v>
      </c>
      <c r="E393" s="4">
        <v>477683675</v>
      </c>
      <c r="F393" s="1">
        <v>44188</v>
      </c>
      <c r="G393" s="3">
        <v>6069</v>
      </c>
      <c r="H393" s="2">
        <v>437.2</v>
      </c>
      <c r="I393" s="2">
        <v>263.33</v>
      </c>
      <c r="J393" s="2">
        <v>2653366.7999999998</v>
      </c>
      <c r="K393" s="2">
        <v>1598149.77</v>
      </c>
    </row>
    <row r="394" spans="1:11" x14ac:dyDescent="0.3">
      <c r="A394" s="4" t="s">
        <v>352</v>
      </c>
      <c r="B394" s="4" t="s">
        <v>1180</v>
      </c>
      <c r="C394" s="4" t="s">
        <v>17</v>
      </c>
      <c r="D394" s="1">
        <v>44335</v>
      </c>
      <c r="E394" s="4">
        <v>535506522</v>
      </c>
      <c r="F394" s="1">
        <v>44341</v>
      </c>
      <c r="G394" s="3">
        <v>7135</v>
      </c>
      <c r="H394" s="2">
        <v>109.28</v>
      </c>
      <c r="I394" s="2">
        <v>35.840000000000003</v>
      </c>
      <c r="J394" s="2">
        <v>779712.8</v>
      </c>
      <c r="K394" s="2">
        <v>255718.40000000002</v>
      </c>
    </row>
    <row r="395" spans="1:11" x14ac:dyDescent="0.3">
      <c r="A395" s="4" t="s">
        <v>400</v>
      </c>
      <c r="B395" s="4" t="s">
        <v>1164</v>
      </c>
      <c r="C395" s="4" t="s">
        <v>17</v>
      </c>
      <c r="D395" s="1">
        <v>44757</v>
      </c>
      <c r="E395" s="4">
        <v>635036218</v>
      </c>
      <c r="F395" s="1">
        <v>44773</v>
      </c>
      <c r="G395" s="3">
        <v>184</v>
      </c>
      <c r="H395" s="2">
        <v>205.7</v>
      </c>
      <c r="I395" s="2">
        <v>117.11</v>
      </c>
      <c r="J395" s="2">
        <v>37848.799999999996</v>
      </c>
      <c r="K395" s="2">
        <v>21548.240000000002</v>
      </c>
    </row>
    <row r="396" spans="1:11" x14ac:dyDescent="0.3">
      <c r="A396" s="4" t="s">
        <v>401</v>
      </c>
      <c r="B396" s="4" t="s">
        <v>1162</v>
      </c>
      <c r="C396" s="4" t="s">
        <v>17</v>
      </c>
      <c r="D396" s="1">
        <v>44865</v>
      </c>
      <c r="E396" s="4">
        <v>885696589</v>
      </c>
      <c r="F396" s="1">
        <v>44876</v>
      </c>
      <c r="G396" s="3">
        <v>6158</v>
      </c>
      <c r="H396" s="2">
        <v>421.89</v>
      </c>
      <c r="I396" s="2">
        <v>364.69</v>
      </c>
      <c r="J396" s="2">
        <v>2597998.62</v>
      </c>
      <c r="K396" s="2">
        <v>2245761.02</v>
      </c>
    </row>
    <row r="397" spans="1:11" x14ac:dyDescent="0.3">
      <c r="A397" s="4" t="s">
        <v>402</v>
      </c>
      <c r="B397" s="4" t="s">
        <v>1178</v>
      </c>
      <c r="C397" s="4" t="s">
        <v>17</v>
      </c>
      <c r="D397" s="1">
        <v>44241</v>
      </c>
      <c r="E397" s="4">
        <v>117223966</v>
      </c>
      <c r="F397" s="1">
        <v>44252</v>
      </c>
      <c r="G397" s="3">
        <v>8031</v>
      </c>
      <c r="H397" s="2">
        <v>154.06</v>
      </c>
      <c r="I397" s="2">
        <v>90.93</v>
      </c>
      <c r="J397" s="2">
        <v>1237255.8600000001</v>
      </c>
      <c r="K397" s="2">
        <v>730258.83000000007</v>
      </c>
    </row>
    <row r="398" spans="1:11" x14ac:dyDescent="0.3">
      <c r="A398" s="4" t="s">
        <v>403</v>
      </c>
      <c r="B398" s="4" t="s">
        <v>1180</v>
      </c>
      <c r="C398" s="4" t="s">
        <v>14</v>
      </c>
      <c r="D398" s="1">
        <v>44181</v>
      </c>
      <c r="E398" s="4">
        <v>829667174</v>
      </c>
      <c r="F398" s="1">
        <v>44205</v>
      </c>
      <c r="G398" s="3">
        <v>5809</v>
      </c>
      <c r="H398" s="2">
        <v>109.28</v>
      </c>
      <c r="I398" s="2">
        <v>35.840000000000003</v>
      </c>
      <c r="J398" s="2">
        <v>634807.52</v>
      </c>
      <c r="K398" s="2">
        <v>208194.56000000003</v>
      </c>
    </row>
    <row r="399" spans="1:11" x14ac:dyDescent="0.3">
      <c r="A399" s="4" t="s">
        <v>404</v>
      </c>
      <c r="B399" s="4" t="s">
        <v>1170</v>
      </c>
      <c r="C399" s="4" t="s">
        <v>12</v>
      </c>
      <c r="D399" s="1">
        <v>44040</v>
      </c>
      <c r="E399" s="4">
        <v>643387544</v>
      </c>
      <c r="F399" s="1">
        <v>44063</v>
      </c>
      <c r="G399" s="3">
        <v>1527</v>
      </c>
      <c r="H399" s="2">
        <v>47.45</v>
      </c>
      <c r="I399" s="2">
        <v>31.79</v>
      </c>
      <c r="J399" s="2">
        <v>72456.150000000009</v>
      </c>
      <c r="K399" s="2">
        <v>48543.33</v>
      </c>
    </row>
    <row r="400" spans="1:11" x14ac:dyDescent="0.3">
      <c r="A400" s="4" t="s">
        <v>405</v>
      </c>
      <c r="B400" s="4" t="s">
        <v>1160</v>
      </c>
      <c r="C400" s="4" t="s">
        <v>17</v>
      </c>
      <c r="D400" s="1">
        <v>43839</v>
      </c>
      <c r="E400" s="4">
        <v>849058902</v>
      </c>
      <c r="F400" s="1">
        <v>43855</v>
      </c>
      <c r="G400" s="3">
        <v>4252</v>
      </c>
      <c r="H400" s="2">
        <v>152.58000000000001</v>
      </c>
      <c r="I400" s="2">
        <v>97.44</v>
      </c>
      <c r="J400" s="2">
        <v>648770.16</v>
      </c>
      <c r="K400" s="2">
        <v>414314.88</v>
      </c>
    </row>
    <row r="401" spans="1:11" x14ac:dyDescent="0.3">
      <c r="A401" s="4" t="s">
        <v>406</v>
      </c>
      <c r="B401" s="4" t="s">
        <v>1176</v>
      </c>
      <c r="C401" s="4" t="s">
        <v>17</v>
      </c>
      <c r="D401" s="1">
        <v>44792</v>
      </c>
      <c r="E401" s="4">
        <v>557667577</v>
      </c>
      <c r="F401" s="1">
        <v>44819</v>
      </c>
      <c r="G401" s="3">
        <v>5083</v>
      </c>
      <c r="H401" s="2">
        <v>651.21</v>
      </c>
      <c r="I401" s="2">
        <v>524.96</v>
      </c>
      <c r="J401" s="2">
        <v>3310100.43</v>
      </c>
      <c r="K401" s="2">
        <v>2668371.6800000002</v>
      </c>
    </row>
    <row r="402" spans="1:11" x14ac:dyDescent="0.3">
      <c r="A402" s="4" t="s">
        <v>407</v>
      </c>
      <c r="B402" s="4" t="s">
        <v>1180</v>
      </c>
      <c r="C402" s="4" t="s">
        <v>12</v>
      </c>
      <c r="D402" s="1">
        <v>44607</v>
      </c>
      <c r="E402" s="4">
        <v>750512397</v>
      </c>
      <c r="F402" s="1">
        <v>44624</v>
      </c>
      <c r="G402" s="3">
        <v>2151</v>
      </c>
      <c r="H402" s="2">
        <v>109.28</v>
      </c>
      <c r="I402" s="2">
        <v>35.840000000000003</v>
      </c>
      <c r="J402" s="2">
        <v>235061.28</v>
      </c>
      <c r="K402" s="2">
        <v>77091.840000000011</v>
      </c>
    </row>
    <row r="403" spans="1:11" x14ac:dyDescent="0.3">
      <c r="A403" s="4" t="s">
        <v>408</v>
      </c>
      <c r="B403" s="4" t="s">
        <v>1178</v>
      </c>
      <c r="C403" s="4" t="s">
        <v>19</v>
      </c>
      <c r="D403" s="1">
        <v>44268</v>
      </c>
      <c r="E403" s="4">
        <v>229204690</v>
      </c>
      <c r="F403" s="1">
        <v>44280</v>
      </c>
      <c r="G403" s="3">
        <v>5616</v>
      </c>
      <c r="H403" s="2">
        <v>154.06</v>
      </c>
      <c r="I403" s="2">
        <v>90.93</v>
      </c>
      <c r="J403" s="2">
        <v>865200.96</v>
      </c>
      <c r="K403" s="2">
        <v>510662.88000000006</v>
      </c>
    </row>
    <row r="404" spans="1:11" x14ac:dyDescent="0.3">
      <c r="A404" s="4" t="s">
        <v>409</v>
      </c>
      <c r="B404" s="4" t="s">
        <v>1166</v>
      </c>
      <c r="C404" s="4" t="s">
        <v>14</v>
      </c>
      <c r="D404" s="1">
        <v>44387</v>
      </c>
      <c r="E404" s="4">
        <v>565668284</v>
      </c>
      <c r="F404" s="1">
        <v>44411</v>
      </c>
      <c r="G404" s="3">
        <v>2671</v>
      </c>
      <c r="H404" s="2">
        <v>9.33</v>
      </c>
      <c r="I404" s="2">
        <v>6.92</v>
      </c>
      <c r="J404" s="2">
        <v>24920.43</v>
      </c>
      <c r="K404" s="2">
        <v>18483.32</v>
      </c>
    </row>
    <row r="405" spans="1:11" x14ac:dyDescent="0.3">
      <c r="A405" s="4" t="s">
        <v>410</v>
      </c>
      <c r="B405" s="4" t="s">
        <v>1160</v>
      </c>
      <c r="C405" s="4" t="s">
        <v>19</v>
      </c>
      <c r="D405" s="1">
        <v>44674</v>
      </c>
      <c r="E405" s="4">
        <v>252139508</v>
      </c>
      <c r="F405" s="1">
        <v>44704</v>
      </c>
      <c r="G405" s="3">
        <v>2538</v>
      </c>
      <c r="H405" s="2">
        <v>152.58000000000001</v>
      </c>
      <c r="I405" s="2">
        <v>97.44</v>
      </c>
      <c r="J405" s="2">
        <v>387248.04000000004</v>
      </c>
      <c r="K405" s="2">
        <v>247302.72</v>
      </c>
    </row>
    <row r="406" spans="1:11" x14ac:dyDescent="0.3">
      <c r="A406" s="4" t="s">
        <v>411</v>
      </c>
      <c r="B406" s="4" t="s">
        <v>1160</v>
      </c>
      <c r="C406" s="4" t="s">
        <v>14</v>
      </c>
      <c r="D406" s="1">
        <v>44470</v>
      </c>
      <c r="E406" s="4">
        <v>551167190</v>
      </c>
      <c r="F406" s="1">
        <v>44513</v>
      </c>
      <c r="G406" s="3">
        <v>1474</v>
      </c>
      <c r="H406" s="2">
        <v>152.58000000000001</v>
      </c>
      <c r="I406" s="2">
        <v>97.44</v>
      </c>
      <c r="J406" s="2">
        <v>224902.92</v>
      </c>
      <c r="K406" s="2">
        <v>143626.56</v>
      </c>
    </row>
    <row r="407" spans="1:11" x14ac:dyDescent="0.3">
      <c r="A407" s="4" t="s">
        <v>412</v>
      </c>
      <c r="B407" s="4" t="s">
        <v>1182</v>
      </c>
      <c r="C407" s="4" t="s">
        <v>12</v>
      </c>
      <c r="D407" s="1">
        <v>44302</v>
      </c>
      <c r="E407" s="4">
        <v>545612657</v>
      </c>
      <c r="F407" s="1">
        <v>44345</v>
      </c>
      <c r="G407" s="3">
        <v>7765</v>
      </c>
      <c r="H407" s="2">
        <v>668.27</v>
      </c>
      <c r="I407" s="2">
        <v>502.54</v>
      </c>
      <c r="J407" s="2">
        <v>5189116.55</v>
      </c>
      <c r="K407" s="2">
        <v>3902223.1</v>
      </c>
    </row>
    <row r="408" spans="1:11" x14ac:dyDescent="0.3">
      <c r="A408" s="4" t="s">
        <v>413</v>
      </c>
      <c r="B408" s="4" t="s">
        <v>1160</v>
      </c>
      <c r="C408" s="4" t="s">
        <v>17</v>
      </c>
      <c r="D408" s="1">
        <v>44323</v>
      </c>
      <c r="E408" s="4">
        <v>288649737</v>
      </c>
      <c r="F408" s="1">
        <v>44367</v>
      </c>
      <c r="G408" s="3">
        <v>6727</v>
      </c>
      <c r="H408" s="2">
        <v>152.58000000000001</v>
      </c>
      <c r="I408" s="2">
        <v>97.44</v>
      </c>
      <c r="J408" s="2">
        <v>1026405.66</v>
      </c>
      <c r="K408" s="2">
        <v>655478.88</v>
      </c>
    </row>
    <row r="409" spans="1:11" x14ac:dyDescent="0.3">
      <c r="A409" s="4" t="s">
        <v>414</v>
      </c>
      <c r="B409" s="4" t="s">
        <v>1174</v>
      </c>
      <c r="C409" s="4" t="s">
        <v>17</v>
      </c>
      <c r="D409" s="1">
        <v>44834</v>
      </c>
      <c r="E409" s="4">
        <v>353764760</v>
      </c>
      <c r="F409" s="1">
        <v>44861</v>
      </c>
      <c r="G409" s="3">
        <v>5709</v>
      </c>
      <c r="H409" s="2">
        <v>81.73</v>
      </c>
      <c r="I409" s="2">
        <v>56.67</v>
      </c>
      <c r="J409" s="2">
        <v>466596.57</v>
      </c>
      <c r="K409" s="2">
        <v>323529.03000000003</v>
      </c>
    </row>
    <row r="410" spans="1:11" x14ac:dyDescent="0.3">
      <c r="A410" s="4" t="s">
        <v>415</v>
      </c>
      <c r="B410" s="4" t="s">
        <v>1166</v>
      </c>
      <c r="C410" s="4" t="s">
        <v>19</v>
      </c>
      <c r="D410" s="1">
        <v>44717</v>
      </c>
      <c r="E410" s="4">
        <v>484756553</v>
      </c>
      <c r="F410" s="1">
        <v>44726</v>
      </c>
      <c r="G410" s="3">
        <v>9091</v>
      </c>
      <c r="H410" s="2">
        <v>9.33</v>
      </c>
      <c r="I410" s="2">
        <v>6.92</v>
      </c>
      <c r="J410" s="2">
        <v>84819.03</v>
      </c>
      <c r="K410" s="2">
        <v>62909.72</v>
      </c>
    </row>
    <row r="411" spans="1:11" x14ac:dyDescent="0.3">
      <c r="A411" s="4" t="s">
        <v>416</v>
      </c>
      <c r="B411" s="4" t="s">
        <v>1170</v>
      </c>
      <c r="C411" s="4" t="s">
        <v>19</v>
      </c>
      <c r="D411" s="1">
        <v>44042</v>
      </c>
      <c r="E411" s="4">
        <v>945736443</v>
      </c>
      <c r="F411" s="1">
        <v>44063</v>
      </c>
      <c r="G411" s="3">
        <v>3285</v>
      </c>
      <c r="H411" s="2">
        <v>47.45</v>
      </c>
      <c r="I411" s="2">
        <v>31.79</v>
      </c>
      <c r="J411" s="2">
        <v>155873.25</v>
      </c>
      <c r="K411" s="2">
        <v>104430.15</v>
      </c>
    </row>
    <row r="412" spans="1:11" x14ac:dyDescent="0.3">
      <c r="A412" s="4" t="s">
        <v>417</v>
      </c>
      <c r="B412" s="4" t="s">
        <v>1170</v>
      </c>
      <c r="C412" s="4" t="s">
        <v>17</v>
      </c>
      <c r="D412" s="1">
        <v>44594</v>
      </c>
      <c r="E412" s="4">
        <v>271128261</v>
      </c>
      <c r="F412" s="1">
        <v>44627</v>
      </c>
      <c r="G412" s="3">
        <v>1732</v>
      </c>
      <c r="H412" s="2">
        <v>47.45</v>
      </c>
      <c r="I412" s="2">
        <v>31.79</v>
      </c>
      <c r="J412" s="2">
        <v>82183.400000000009</v>
      </c>
      <c r="K412" s="2">
        <v>55060.28</v>
      </c>
    </row>
    <row r="413" spans="1:11" x14ac:dyDescent="0.3">
      <c r="A413" s="4" t="s">
        <v>418</v>
      </c>
      <c r="B413" s="4" t="s">
        <v>1168</v>
      </c>
      <c r="C413" s="4" t="s">
        <v>17</v>
      </c>
      <c r="D413" s="1">
        <v>44130</v>
      </c>
      <c r="E413" s="4">
        <v>215668332</v>
      </c>
      <c r="F413" s="1">
        <v>44156</v>
      </c>
      <c r="G413" s="3">
        <v>9907</v>
      </c>
      <c r="H413" s="2">
        <v>255.28</v>
      </c>
      <c r="I413" s="2">
        <v>159.41999999999999</v>
      </c>
      <c r="J413" s="2">
        <v>2529058.96</v>
      </c>
      <c r="K413" s="2">
        <v>1579373.94</v>
      </c>
    </row>
    <row r="414" spans="1:11" x14ac:dyDescent="0.3">
      <c r="A414" s="4" t="s">
        <v>419</v>
      </c>
      <c r="B414" s="4" t="s">
        <v>1166</v>
      </c>
      <c r="C414" s="4" t="s">
        <v>14</v>
      </c>
      <c r="D414" s="1">
        <v>44205</v>
      </c>
      <c r="E414" s="4">
        <v>804405486</v>
      </c>
      <c r="F414" s="1">
        <v>44228</v>
      </c>
      <c r="G414" s="3">
        <v>314</v>
      </c>
      <c r="H414" s="2">
        <v>9.33</v>
      </c>
      <c r="I414" s="2">
        <v>6.92</v>
      </c>
      <c r="J414" s="2">
        <v>2929.62</v>
      </c>
      <c r="K414" s="2">
        <v>2172.88</v>
      </c>
    </row>
    <row r="415" spans="1:11" x14ac:dyDescent="0.3">
      <c r="A415" s="4" t="s">
        <v>420</v>
      </c>
      <c r="B415" s="4" t="s">
        <v>1162</v>
      </c>
      <c r="C415" s="4" t="s">
        <v>19</v>
      </c>
      <c r="D415" s="1">
        <v>44434</v>
      </c>
      <c r="E415" s="4">
        <v>782701051</v>
      </c>
      <c r="F415" s="1">
        <v>44440</v>
      </c>
      <c r="G415" s="3">
        <v>7489</v>
      </c>
      <c r="H415" s="2">
        <v>421.89</v>
      </c>
      <c r="I415" s="2">
        <v>364.69</v>
      </c>
      <c r="J415" s="2">
        <v>3159534.21</v>
      </c>
      <c r="K415" s="2">
        <v>2731163.41</v>
      </c>
    </row>
    <row r="416" spans="1:11" x14ac:dyDescent="0.3">
      <c r="A416" s="4" t="s">
        <v>421</v>
      </c>
      <c r="B416" s="4" t="s">
        <v>1182</v>
      </c>
      <c r="C416" s="4" t="s">
        <v>12</v>
      </c>
      <c r="D416" s="1">
        <v>44058</v>
      </c>
      <c r="E416" s="4">
        <v>766228854</v>
      </c>
      <c r="F416" s="1">
        <v>44107</v>
      </c>
      <c r="G416" s="3">
        <v>3000</v>
      </c>
      <c r="H416" s="2">
        <v>668.27</v>
      </c>
      <c r="I416" s="2">
        <v>502.54</v>
      </c>
      <c r="J416" s="2">
        <v>2004810</v>
      </c>
      <c r="K416" s="2">
        <v>1507620</v>
      </c>
    </row>
    <row r="417" spans="1:11" x14ac:dyDescent="0.3">
      <c r="A417" s="4" t="s">
        <v>422</v>
      </c>
      <c r="B417" s="4" t="s">
        <v>1166</v>
      </c>
      <c r="C417" s="4" t="s">
        <v>19</v>
      </c>
      <c r="D417" s="1">
        <v>44551</v>
      </c>
      <c r="E417" s="4">
        <v>990975224</v>
      </c>
      <c r="F417" s="1">
        <v>44588</v>
      </c>
      <c r="G417" s="3">
        <v>445</v>
      </c>
      <c r="H417" s="2">
        <v>9.33</v>
      </c>
      <c r="I417" s="2">
        <v>6.92</v>
      </c>
      <c r="J417" s="2">
        <v>4151.8500000000004</v>
      </c>
      <c r="K417" s="2">
        <v>3079.4</v>
      </c>
    </row>
    <row r="418" spans="1:11" x14ac:dyDescent="0.3">
      <c r="A418" s="4" t="s">
        <v>423</v>
      </c>
      <c r="B418" s="4" t="s">
        <v>1164</v>
      </c>
      <c r="C418" s="4" t="s">
        <v>19</v>
      </c>
      <c r="D418" s="1">
        <v>43881</v>
      </c>
      <c r="E418" s="4">
        <v>863238990</v>
      </c>
      <c r="F418" s="1">
        <v>43924</v>
      </c>
      <c r="G418" s="3">
        <v>455</v>
      </c>
      <c r="H418" s="2">
        <v>205.7</v>
      </c>
      <c r="I418" s="2">
        <v>117.11</v>
      </c>
      <c r="J418" s="2">
        <v>93593.5</v>
      </c>
      <c r="K418" s="2">
        <v>53285.05</v>
      </c>
    </row>
    <row r="419" spans="1:11" x14ac:dyDescent="0.3">
      <c r="A419" s="4" t="s">
        <v>424</v>
      </c>
      <c r="B419" s="4" t="s">
        <v>1174</v>
      </c>
      <c r="C419" s="4" t="s">
        <v>19</v>
      </c>
      <c r="D419" s="1">
        <v>44338</v>
      </c>
      <c r="E419" s="4">
        <v>309631478</v>
      </c>
      <c r="F419" s="1">
        <v>44343</v>
      </c>
      <c r="G419" s="3">
        <v>5690</v>
      </c>
      <c r="H419" s="2">
        <v>81.73</v>
      </c>
      <c r="I419" s="2">
        <v>56.67</v>
      </c>
      <c r="J419" s="2">
        <v>465043.7</v>
      </c>
      <c r="K419" s="2">
        <v>322452.3</v>
      </c>
    </row>
    <row r="420" spans="1:11" x14ac:dyDescent="0.3">
      <c r="A420" s="4" t="s">
        <v>425</v>
      </c>
      <c r="B420" s="4" t="s">
        <v>1178</v>
      </c>
      <c r="C420" s="4" t="s">
        <v>17</v>
      </c>
      <c r="D420" s="1">
        <v>44705</v>
      </c>
      <c r="E420" s="4">
        <v>227076518</v>
      </c>
      <c r="F420" s="1">
        <v>44755</v>
      </c>
      <c r="G420" s="3">
        <v>5843</v>
      </c>
      <c r="H420" s="2">
        <v>154.06</v>
      </c>
      <c r="I420" s="2">
        <v>90.93</v>
      </c>
      <c r="J420" s="2">
        <v>900172.58</v>
      </c>
      <c r="K420" s="2">
        <v>531303.99</v>
      </c>
    </row>
    <row r="421" spans="1:11" x14ac:dyDescent="0.3">
      <c r="A421" s="4" t="s">
        <v>426</v>
      </c>
      <c r="B421" s="4" t="s">
        <v>1174</v>
      </c>
      <c r="C421" s="4" t="s">
        <v>12</v>
      </c>
      <c r="D421" s="1">
        <v>43913</v>
      </c>
      <c r="E421" s="4">
        <v>232810437</v>
      </c>
      <c r="F421" s="1">
        <v>43927</v>
      </c>
      <c r="G421" s="3">
        <v>2637</v>
      </c>
      <c r="H421" s="2">
        <v>81.73</v>
      </c>
      <c r="I421" s="2">
        <v>56.67</v>
      </c>
      <c r="J421" s="2">
        <v>215522.01</v>
      </c>
      <c r="K421" s="2">
        <v>149438.79</v>
      </c>
    </row>
    <row r="422" spans="1:11" x14ac:dyDescent="0.3">
      <c r="A422" s="4" t="s">
        <v>427</v>
      </c>
      <c r="B422" s="4" t="s">
        <v>1170</v>
      </c>
      <c r="C422" s="4" t="s">
        <v>12</v>
      </c>
      <c r="D422" s="1">
        <v>44691</v>
      </c>
      <c r="E422" s="4">
        <v>914382064</v>
      </c>
      <c r="F422" s="1">
        <v>44718</v>
      </c>
      <c r="G422" s="3">
        <v>4827</v>
      </c>
      <c r="H422" s="2">
        <v>47.45</v>
      </c>
      <c r="I422" s="2">
        <v>31.79</v>
      </c>
      <c r="J422" s="2">
        <v>229041.15000000002</v>
      </c>
      <c r="K422" s="2">
        <v>153450.32999999999</v>
      </c>
    </row>
    <row r="423" spans="1:11" x14ac:dyDescent="0.3">
      <c r="A423" s="4" t="s">
        <v>428</v>
      </c>
      <c r="B423" s="4" t="s">
        <v>1178</v>
      </c>
      <c r="C423" s="4" t="s">
        <v>12</v>
      </c>
      <c r="D423" s="1">
        <v>44698</v>
      </c>
      <c r="E423" s="4">
        <v>679652726</v>
      </c>
      <c r="F423" s="1">
        <v>44725</v>
      </c>
      <c r="G423" s="3">
        <v>3200</v>
      </c>
      <c r="H423" s="2">
        <v>154.06</v>
      </c>
      <c r="I423" s="2">
        <v>90.93</v>
      </c>
      <c r="J423" s="2">
        <v>492992</v>
      </c>
      <c r="K423" s="2">
        <v>290976</v>
      </c>
    </row>
    <row r="424" spans="1:11" x14ac:dyDescent="0.3">
      <c r="A424" s="4" t="s">
        <v>429</v>
      </c>
      <c r="B424" s="4" t="s">
        <v>1164</v>
      </c>
      <c r="C424" s="4" t="s">
        <v>17</v>
      </c>
      <c r="D424" s="1">
        <v>44349</v>
      </c>
      <c r="E424" s="4">
        <v>706796252</v>
      </c>
      <c r="F424" s="1">
        <v>44393</v>
      </c>
      <c r="G424" s="3">
        <v>5572</v>
      </c>
      <c r="H424" s="2">
        <v>205.7</v>
      </c>
      <c r="I424" s="2">
        <v>117.11</v>
      </c>
      <c r="J424" s="2">
        <v>1146160.3999999999</v>
      </c>
      <c r="K424" s="2">
        <v>652536.92000000004</v>
      </c>
    </row>
    <row r="425" spans="1:11" x14ac:dyDescent="0.3">
      <c r="A425" s="4" t="s">
        <v>430</v>
      </c>
      <c r="B425" s="4" t="s">
        <v>1166</v>
      </c>
      <c r="C425" s="4" t="s">
        <v>19</v>
      </c>
      <c r="D425" s="1">
        <v>44204</v>
      </c>
      <c r="E425" s="4">
        <v>894298970</v>
      </c>
      <c r="F425" s="1">
        <v>44222</v>
      </c>
      <c r="G425" s="3">
        <v>1793</v>
      </c>
      <c r="H425" s="2">
        <v>9.33</v>
      </c>
      <c r="I425" s="2">
        <v>6.92</v>
      </c>
      <c r="J425" s="2">
        <v>16728.689999999999</v>
      </c>
      <c r="K425" s="2">
        <v>12407.56</v>
      </c>
    </row>
    <row r="426" spans="1:11" x14ac:dyDescent="0.3">
      <c r="A426" s="4" t="s">
        <v>431</v>
      </c>
      <c r="B426" s="4" t="s">
        <v>1170</v>
      </c>
      <c r="C426" s="4" t="s">
        <v>17</v>
      </c>
      <c r="D426" s="1">
        <v>44449</v>
      </c>
      <c r="E426" s="4">
        <v>310959708</v>
      </c>
      <c r="F426" s="1">
        <v>44481</v>
      </c>
      <c r="G426" s="3">
        <v>8743</v>
      </c>
      <c r="H426" s="2">
        <v>47.45</v>
      </c>
      <c r="I426" s="2">
        <v>31.79</v>
      </c>
      <c r="J426" s="2">
        <v>414855.35000000003</v>
      </c>
      <c r="K426" s="2">
        <v>277939.96999999997</v>
      </c>
    </row>
    <row r="427" spans="1:11" x14ac:dyDescent="0.3">
      <c r="A427" s="4" t="s">
        <v>432</v>
      </c>
      <c r="B427" s="4" t="s">
        <v>1170</v>
      </c>
      <c r="C427" s="4" t="s">
        <v>17</v>
      </c>
      <c r="D427" s="1">
        <v>44374</v>
      </c>
      <c r="E427" s="4">
        <v>345889794</v>
      </c>
      <c r="F427" s="1">
        <v>44402</v>
      </c>
      <c r="G427" s="3">
        <v>5331</v>
      </c>
      <c r="H427" s="2">
        <v>47.45</v>
      </c>
      <c r="I427" s="2">
        <v>31.79</v>
      </c>
      <c r="J427" s="2">
        <v>252955.95</v>
      </c>
      <c r="K427" s="2">
        <v>169472.49</v>
      </c>
    </row>
    <row r="428" spans="1:11" x14ac:dyDescent="0.3">
      <c r="A428" s="4" t="s">
        <v>433</v>
      </c>
      <c r="B428" s="4" t="s">
        <v>1166</v>
      </c>
      <c r="C428" s="4" t="s">
        <v>14</v>
      </c>
      <c r="D428" s="1">
        <v>43936</v>
      </c>
      <c r="E428" s="4">
        <v>658513057</v>
      </c>
      <c r="F428" s="1">
        <v>43974</v>
      </c>
      <c r="G428" s="3">
        <v>7502</v>
      </c>
      <c r="H428" s="2">
        <v>9.33</v>
      </c>
      <c r="I428" s="2">
        <v>6.92</v>
      </c>
      <c r="J428" s="2">
        <v>69993.66</v>
      </c>
      <c r="K428" s="2">
        <v>51913.84</v>
      </c>
    </row>
    <row r="429" spans="1:11" x14ac:dyDescent="0.3">
      <c r="A429" s="4" t="s">
        <v>434</v>
      </c>
      <c r="B429" s="4" t="s">
        <v>1176</v>
      </c>
      <c r="C429" s="4" t="s">
        <v>19</v>
      </c>
      <c r="D429" s="1">
        <v>44283</v>
      </c>
      <c r="E429" s="4">
        <v>528565824</v>
      </c>
      <c r="F429" s="1">
        <v>44289</v>
      </c>
      <c r="G429" s="3">
        <v>3228</v>
      </c>
      <c r="H429" s="2">
        <v>651.21</v>
      </c>
      <c r="I429" s="2">
        <v>524.96</v>
      </c>
      <c r="J429" s="2">
        <v>2102105.88</v>
      </c>
      <c r="K429" s="2">
        <v>1694570.8800000001</v>
      </c>
    </row>
    <row r="430" spans="1:11" x14ac:dyDescent="0.3">
      <c r="A430" s="4" t="s">
        <v>435</v>
      </c>
      <c r="B430" s="4" t="s">
        <v>1176</v>
      </c>
      <c r="C430" s="4" t="s">
        <v>14</v>
      </c>
      <c r="D430" s="1">
        <v>44102</v>
      </c>
      <c r="E430" s="4">
        <v>206096923</v>
      </c>
      <c r="F430" s="1">
        <v>44119</v>
      </c>
      <c r="G430" s="3">
        <v>7514</v>
      </c>
      <c r="H430" s="2">
        <v>651.21</v>
      </c>
      <c r="I430" s="2">
        <v>524.96</v>
      </c>
      <c r="J430" s="2">
        <v>4893191.9400000004</v>
      </c>
      <c r="K430" s="2">
        <v>3944549.4400000004</v>
      </c>
    </row>
    <row r="431" spans="1:11" x14ac:dyDescent="0.3">
      <c r="A431" s="4" t="s">
        <v>436</v>
      </c>
      <c r="B431" s="4" t="s">
        <v>1180</v>
      </c>
      <c r="C431" s="4" t="s">
        <v>17</v>
      </c>
      <c r="D431" s="1">
        <v>44311</v>
      </c>
      <c r="E431" s="4">
        <v>461467683</v>
      </c>
      <c r="F431" s="1">
        <v>44327</v>
      </c>
      <c r="G431" s="3">
        <v>7397</v>
      </c>
      <c r="H431" s="2">
        <v>109.28</v>
      </c>
      <c r="I431" s="2">
        <v>35.840000000000003</v>
      </c>
      <c r="J431" s="2">
        <v>808344.16</v>
      </c>
      <c r="K431" s="2">
        <v>265108.48000000004</v>
      </c>
    </row>
    <row r="432" spans="1:11" x14ac:dyDescent="0.3">
      <c r="A432" s="4" t="s">
        <v>437</v>
      </c>
      <c r="B432" s="4" t="s">
        <v>1170</v>
      </c>
      <c r="C432" s="4" t="s">
        <v>14</v>
      </c>
      <c r="D432" s="1">
        <v>44412</v>
      </c>
      <c r="E432" s="4">
        <v>335351932</v>
      </c>
      <c r="F432" s="1">
        <v>44452</v>
      </c>
      <c r="G432" s="3">
        <v>6944</v>
      </c>
      <c r="H432" s="2">
        <v>47.45</v>
      </c>
      <c r="I432" s="2">
        <v>31.79</v>
      </c>
      <c r="J432" s="2">
        <v>329492.80000000005</v>
      </c>
      <c r="K432" s="2">
        <v>220749.75999999998</v>
      </c>
    </row>
    <row r="433" spans="1:11" x14ac:dyDescent="0.3">
      <c r="A433" s="4" t="s">
        <v>438</v>
      </c>
      <c r="B433" s="4" t="s">
        <v>1178</v>
      </c>
      <c r="C433" s="4" t="s">
        <v>19</v>
      </c>
      <c r="D433" s="1">
        <v>44053</v>
      </c>
      <c r="E433" s="4">
        <v>288735997</v>
      </c>
      <c r="F433" s="1">
        <v>44088</v>
      </c>
      <c r="G433" s="3">
        <v>2253</v>
      </c>
      <c r="H433" s="2">
        <v>154.06</v>
      </c>
      <c r="I433" s="2">
        <v>90.93</v>
      </c>
      <c r="J433" s="2">
        <v>347097.18</v>
      </c>
      <c r="K433" s="2">
        <v>204865.29</v>
      </c>
    </row>
    <row r="434" spans="1:11" x14ac:dyDescent="0.3">
      <c r="A434" s="4" t="s">
        <v>439</v>
      </c>
      <c r="B434" s="4" t="s">
        <v>1174</v>
      </c>
      <c r="C434" s="4" t="s">
        <v>12</v>
      </c>
      <c r="D434" s="1">
        <v>44595</v>
      </c>
      <c r="E434" s="4">
        <v>852918708</v>
      </c>
      <c r="F434" s="1">
        <v>44634</v>
      </c>
      <c r="G434" s="3">
        <v>6454</v>
      </c>
      <c r="H434" s="2">
        <v>81.73</v>
      </c>
      <c r="I434" s="2">
        <v>56.67</v>
      </c>
      <c r="J434" s="2">
        <v>527485.42000000004</v>
      </c>
      <c r="K434" s="2">
        <v>365748.18</v>
      </c>
    </row>
    <row r="435" spans="1:11" x14ac:dyDescent="0.3">
      <c r="A435" s="4" t="s">
        <v>440</v>
      </c>
      <c r="B435" s="4" t="s">
        <v>1160</v>
      </c>
      <c r="C435" s="4" t="s">
        <v>12</v>
      </c>
      <c r="D435" s="1">
        <v>44411</v>
      </c>
      <c r="E435" s="4">
        <v>379511392</v>
      </c>
      <c r="F435" s="1">
        <v>44411</v>
      </c>
      <c r="G435" s="3">
        <v>4709</v>
      </c>
      <c r="H435" s="2">
        <v>152.58000000000001</v>
      </c>
      <c r="I435" s="2">
        <v>97.44</v>
      </c>
      <c r="J435" s="2">
        <v>718499.22000000009</v>
      </c>
      <c r="K435" s="2">
        <v>458844.95999999996</v>
      </c>
    </row>
    <row r="436" spans="1:11" x14ac:dyDescent="0.3">
      <c r="A436" s="4" t="s">
        <v>26</v>
      </c>
      <c r="B436" s="4" t="s">
        <v>1178</v>
      </c>
      <c r="C436" s="4" t="s">
        <v>19</v>
      </c>
      <c r="D436" s="1">
        <v>44636</v>
      </c>
      <c r="E436" s="4">
        <v>890437877</v>
      </c>
      <c r="F436" s="1">
        <v>44644</v>
      </c>
      <c r="G436" s="3">
        <v>9210</v>
      </c>
      <c r="H436" s="2">
        <v>154.06</v>
      </c>
      <c r="I436" s="2">
        <v>90.93</v>
      </c>
      <c r="J436" s="2">
        <v>1418892.6</v>
      </c>
      <c r="K436" s="2">
        <v>837465.3</v>
      </c>
    </row>
    <row r="437" spans="1:11" x14ac:dyDescent="0.3">
      <c r="A437" s="4" t="s">
        <v>441</v>
      </c>
      <c r="B437" s="4" t="s">
        <v>1166</v>
      </c>
      <c r="C437" s="4" t="s">
        <v>14</v>
      </c>
      <c r="D437" s="1">
        <v>44460</v>
      </c>
      <c r="E437" s="4">
        <v>427934491</v>
      </c>
      <c r="F437" s="1">
        <v>44473</v>
      </c>
      <c r="G437" s="3">
        <v>4180</v>
      </c>
      <c r="H437" s="2">
        <v>9.33</v>
      </c>
      <c r="I437" s="2">
        <v>6.92</v>
      </c>
      <c r="J437" s="2">
        <v>38999.4</v>
      </c>
      <c r="K437" s="2">
        <v>28925.599999999999</v>
      </c>
    </row>
    <row r="438" spans="1:11" x14ac:dyDescent="0.3">
      <c r="A438" s="4" t="s">
        <v>442</v>
      </c>
      <c r="B438" s="4" t="s">
        <v>1182</v>
      </c>
      <c r="C438" s="4" t="s">
        <v>14</v>
      </c>
      <c r="D438" s="1">
        <v>44786</v>
      </c>
      <c r="E438" s="4">
        <v>704550063</v>
      </c>
      <c r="F438" s="1">
        <v>44791</v>
      </c>
      <c r="G438" s="3">
        <v>875</v>
      </c>
      <c r="H438" s="2">
        <v>668.27</v>
      </c>
      <c r="I438" s="2">
        <v>502.54</v>
      </c>
      <c r="J438" s="2">
        <v>584736.25</v>
      </c>
      <c r="K438" s="2">
        <v>439722.5</v>
      </c>
    </row>
    <row r="439" spans="1:11" x14ac:dyDescent="0.3">
      <c r="A439" s="4" t="s">
        <v>443</v>
      </c>
      <c r="B439" s="4" t="s">
        <v>1162</v>
      </c>
      <c r="C439" s="4" t="s">
        <v>12</v>
      </c>
      <c r="D439" s="1">
        <v>44577</v>
      </c>
      <c r="E439" s="4">
        <v>353145921</v>
      </c>
      <c r="F439" s="1">
        <v>44615</v>
      </c>
      <c r="G439" s="3">
        <v>2580</v>
      </c>
      <c r="H439" s="2">
        <v>421.89</v>
      </c>
      <c r="I439" s="2">
        <v>364.69</v>
      </c>
      <c r="J439" s="2">
        <v>1088476.2</v>
      </c>
      <c r="K439" s="2">
        <v>940900.2</v>
      </c>
    </row>
    <row r="440" spans="1:11" x14ac:dyDescent="0.3">
      <c r="A440" s="4" t="s">
        <v>444</v>
      </c>
      <c r="B440" s="4" t="s">
        <v>1160</v>
      </c>
      <c r="C440" s="4" t="s">
        <v>19</v>
      </c>
      <c r="D440" s="1">
        <v>44509</v>
      </c>
      <c r="E440" s="4">
        <v>776895892</v>
      </c>
      <c r="F440" s="1">
        <v>44509</v>
      </c>
      <c r="G440" s="3">
        <v>9614</v>
      </c>
      <c r="H440" s="2">
        <v>152.58000000000001</v>
      </c>
      <c r="I440" s="2">
        <v>97.44</v>
      </c>
      <c r="J440" s="2">
        <v>1466904.12</v>
      </c>
      <c r="K440" s="2">
        <v>936788.16</v>
      </c>
    </row>
    <row r="441" spans="1:11" x14ac:dyDescent="0.3">
      <c r="A441" s="4" t="s">
        <v>445</v>
      </c>
      <c r="B441" s="4" t="s">
        <v>1178</v>
      </c>
      <c r="C441" s="4" t="s">
        <v>12</v>
      </c>
      <c r="D441" s="1">
        <v>44361</v>
      </c>
      <c r="E441" s="4">
        <v>299286305</v>
      </c>
      <c r="F441" s="1">
        <v>44411</v>
      </c>
      <c r="G441" s="3">
        <v>4323</v>
      </c>
      <c r="H441" s="2">
        <v>154.06</v>
      </c>
      <c r="I441" s="2">
        <v>90.93</v>
      </c>
      <c r="J441" s="2">
        <v>666001.38</v>
      </c>
      <c r="K441" s="2">
        <v>393090.39</v>
      </c>
    </row>
    <row r="442" spans="1:11" x14ac:dyDescent="0.3">
      <c r="A442" s="4" t="s">
        <v>446</v>
      </c>
      <c r="B442" s="4" t="s">
        <v>1160</v>
      </c>
      <c r="C442" s="4" t="s">
        <v>14</v>
      </c>
      <c r="D442" s="1">
        <v>44578</v>
      </c>
      <c r="E442" s="4">
        <v>914115989</v>
      </c>
      <c r="F442" s="1">
        <v>44604</v>
      </c>
      <c r="G442" s="3">
        <v>6090</v>
      </c>
      <c r="H442" s="2">
        <v>152.58000000000001</v>
      </c>
      <c r="I442" s="2">
        <v>97.44</v>
      </c>
      <c r="J442" s="2">
        <v>929212.20000000007</v>
      </c>
      <c r="K442" s="2">
        <v>593409.6</v>
      </c>
    </row>
    <row r="443" spans="1:11" x14ac:dyDescent="0.3">
      <c r="A443" s="4" t="s">
        <v>447</v>
      </c>
      <c r="B443" s="4" t="s">
        <v>1168</v>
      </c>
      <c r="C443" s="4" t="s">
        <v>12</v>
      </c>
      <c r="D443" s="1">
        <v>44711</v>
      </c>
      <c r="E443" s="4">
        <v>635496270</v>
      </c>
      <c r="F443" s="1">
        <v>44747</v>
      </c>
      <c r="G443" s="3">
        <v>6323</v>
      </c>
      <c r="H443" s="2">
        <v>255.28</v>
      </c>
      <c r="I443" s="2">
        <v>159.41999999999999</v>
      </c>
      <c r="J443" s="2">
        <v>1614135.44</v>
      </c>
      <c r="K443" s="2">
        <v>1008012.6599999999</v>
      </c>
    </row>
    <row r="444" spans="1:11" x14ac:dyDescent="0.3">
      <c r="A444" s="4" t="s">
        <v>448</v>
      </c>
      <c r="B444" s="4" t="s">
        <v>1162</v>
      </c>
      <c r="C444" s="4" t="s">
        <v>14</v>
      </c>
      <c r="D444" s="1">
        <v>43934</v>
      </c>
      <c r="E444" s="4">
        <v>247850978</v>
      </c>
      <c r="F444" s="1">
        <v>43959</v>
      </c>
      <c r="G444" s="3">
        <v>3467</v>
      </c>
      <c r="H444" s="2">
        <v>421.89</v>
      </c>
      <c r="I444" s="2">
        <v>364.69</v>
      </c>
      <c r="J444" s="2">
        <v>1462692.63</v>
      </c>
      <c r="K444" s="2">
        <v>1264380.23</v>
      </c>
    </row>
    <row r="445" spans="1:11" x14ac:dyDescent="0.3">
      <c r="A445" s="4" t="s">
        <v>377</v>
      </c>
      <c r="B445" s="4" t="s">
        <v>1180</v>
      </c>
      <c r="C445" s="4" t="s">
        <v>17</v>
      </c>
      <c r="D445" s="1">
        <v>44702</v>
      </c>
      <c r="E445" s="4">
        <v>155916440</v>
      </c>
      <c r="F445" s="1">
        <v>44752</v>
      </c>
      <c r="G445" s="3">
        <v>7994</v>
      </c>
      <c r="H445" s="2">
        <v>109.28</v>
      </c>
      <c r="I445" s="2">
        <v>35.840000000000003</v>
      </c>
      <c r="J445" s="2">
        <v>873584.32000000007</v>
      </c>
      <c r="K445" s="2">
        <v>286504.96000000002</v>
      </c>
    </row>
    <row r="446" spans="1:11" x14ac:dyDescent="0.3">
      <c r="A446" s="4" t="s">
        <v>449</v>
      </c>
      <c r="B446" s="4" t="s">
        <v>1178</v>
      </c>
      <c r="C446" s="4" t="s">
        <v>17</v>
      </c>
      <c r="D446" s="1">
        <v>43872</v>
      </c>
      <c r="E446" s="4">
        <v>834741485</v>
      </c>
      <c r="F446" s="1">
        <v>43878</v>
      </c>
      <c r="G446" s="3">
        <v>7410</v>
      </c>
      <c r="H446" s="2">
        <v>154.06</v>
      </c>
      <c r="I446" s="2">
        <v>90.93</v>
      </c>
      <c r="J446" s="2">
        <v>1141584.6000000001</v>
      </c>
      <c r="K446" s="2">
        <v>673791.3</v>
      </c>
    </row>
    <row r="447" spans="1:11" x14ac:dyDescent="0.3">
      <c r="A447" s="4" t="s">
        <v>450</v>
      </c>
      <c r="B447" s="4" t="s">
        <v>1162</v>
      </c>
      <c r="C447" s="4" t="s">
        <v>17</v>
      </c>
      <c r="D447" s="1">
        <v>44714</v>
      </c>
      <c r="E447" s="4">
        <v>579687440</v>
      </c>
      <c r="F447" s="1">
        <v>44717</v>
      </c>
      <c r="G447" s="3">
        <v>1250</v>
      </c>
      <c r="H447" s="2">
        <v>421.89</v>
      </c>
      <c r="I447" s="2">
        <v>364.69</v>
      </c>
      <c r="J447" s="2">
        <v>527362.5</v>
      </c>
      <c r="K447" s="2">
        <v>455862.5</v>
      </c>
    </row>
    <row r="448" spans="1:11" x14ac:dyDescent="0.3">
      <c r="A448" s="4" t="s">
        <v>451</v>
      </c>
      <c r="B448" s="4" t="s">
        <v>1174</v>
      </c>
      <c r="C448" s="4" t="s">
        <v>14</v>
      </c>
      <c r="D448" s="1">
        <v>43857</v>
      </c>
      <c r="E448" s="4">
        <v>456428134</v>
      </c>
      <c r="F448" s="1">
        <v>43896</v>
      </c>
      <c r="G448" s="3">
        <v>6083</v>
      </c>
      <c r="H448" s="2">
        <v>81.73</v>
      </c>
      <c r="I448" s="2">
        <v>56.67</v>
      </c>
      <c r="J448" s="2">
        <v>497163.59</v>
      </c>
      <c r="K448" s="2">
        <v>344723.61</v>
      </c>
    </row>
    <row r="449" spans="1:11" x14ac:dyDescent="0.3">
      <c r="A449" s="4" t="s">
        <v>452</v>
      </c>
      <c r="B449" s="4" t="s">
        <v>1160</v>
      </c>
      <c r="C449" s="4" t="s">
        <v>19</v>
      </c>
      <c r="D449" s="1">
        <v>44343</v>
      </c>
      <c r="E449" s="4">
        <v>250949895</v>
      </c>
      <c r="F449" s="1">
        <v>44366</v>
      </c>
      <c r="G449" s="3">
        <v>505</v>
      </c>
      <c r="H449" s="2">
        <v>152.58000000000001</v>
      </c>
      <c r="I449" s="2">
        <v>97.44</v>
      </c>
      <c r="J449" s="2">
        <v>77052.900000000009</v>
      </c>
      <c r="K449" s="2">
        <v>49207.199999999997</v>
      </c>
    </row>
    <row r="450" spans="1:11" x14ac:dyDescent="0.3">
      <c r="A450" s="4" t="s">
        <v>453</v>
      </c>
      <c r="B450" s="4" t="s">
        <v>1178</v>
      </c>
      <c r="C450" s="4" t="s">
        <v>17</v>
      </c>
      <c r="D450" s="1">
        <v>44660</v>
      </c>
      <c r="E450" s="4">
        <v>719551551</v>
      </c>
      <c r="F450" s="1">
        <v>44665</v>
      </c>
      <c r="G450" s="3">
        <v>149</v>
      </c>
      <c r="H450" s="2">
        <v>154.06</v>
      </c>
      <c r="I450" s="2">
        <v>90.93</v>
      </c>
      <c r="J450" s="2">
        <v>22954.94</v>
      </c>
      <c r="K450" s="2">
        <v>13548.570000000002</v>
      </c>
    </row>
    <row r="451" spans="1:11" x14ac:dyDescent="0.3">
      <c r="A451" s="4" t="s">
        <v>454</v>
      </c>
      <c r="B451" s="4" t="s">
        <v>1172</v>
      </c>
      <c r="C451" s="4" t="s">
        <v>12</v>
      </c>
      <c r="D451" s="1">
        <v>44489</v>
      </c>
      <c r="E451" s="4">
        <v>438844430</v>
      </c>
      <c r="F451" s="1">
        <v>44537</v>
      </c>
      <c r="G451" s="3">
        <v>2674</v>
      </c>
      <c r="H451" s="2">
        <v>437.2</v>
      </c>
      <c r="I451" s="2">
        <v>263.33</v>
      </c>
      <c r="J451" s="2">
        <v>1169072.8</v>
      </c>
      <c r="K451" s="2">
        <v>704144.41999999993</v>
      </c>
    </row>
    <row r="452" spans="1:11" x14ac:dyDescent="0.3">
      <c r="A452" s="4" t="s">
        <v>455</v>
      </c>
      <c r="B452" s="4" t="s">
        <v>1178</v>
      </c>
      <c r="C452" s="4" t="s">
        <v>12</v>
      </c>
      <c r="D452" s="1">
        <v>44180</v>
      </c>
      <c r="E452" s="4">
        <v>755752360</v>
      </c>
      <c r="F452" s="1">
        <v>44230</v>
      </c>
      <c r="G452" s="3">
        <v>2773</v>
      </c>
      <c r="H452" s="2">
        <v>154.06</v>
      </c>
      <c r="I452" s="2">
        <v>90.93</v>
      </c>
      <c r="J452" s="2">
        <v>427208.38</v>
      </c>
      <c r="K452" s="2">
        <v>252148.89</v>
      </c>
    </row>
    <row r="453" spans="1:11" x14ac:dyDescent="0.3">
      <c r="A453" s="4" t="s">
        <v>456</v>
      </c>
      <c r="B453" s="4" t="s">
        <v>1180</v>
      </c>
      <c r="C453" s="4" t="s">
        <v>12</v>
      </c>
      <c r="D453" s="1">
        <v>44228</v>
      </c>
      <c r="E453" s="4">
        <v>837511670</v>
      </c>
      <c r="F453" s="1">
        <v>44255</v>
      </c>
      <c r="G453" s="3">
        <v>7169</v>
      </c>
      <c r="H453" s="2">
        <v>109.28</v>
      </c>
      <c r="I453" s="2">
        <v>35.840000000000003</v>
      </c>
      <c r="J453" s="2">
        <v>783428.32000000007</v>
      </c>
      <c r="K453" s="2">
        <v>256936.96000000002</v>
      </c>
    </row>
    <row r="454" spans="1:11" x14ac:dyDescent="0.3">
      <c r="A454" s="4" t="s">
        <v>457</v>
      </c>
      <c r="B454" s="4" t="s">
        <v>1172</v>
      </c>
      <c r="C454" s="4" t="s">
        <v>19</v>
      </c>
      <c r="D454" s="1">
        <v>44754</v>
      </c>
      <c r="E454" s="4">
        <v>821671187</v>
      </c>
      <c r="F454" s="1">
        <v>44784</v>
      </c>
      <c r="G454" s="3">
        <v>9619</v>
      </c>
      <c r="H454" s="2">
        <v>437.2</v>
      </c>
      <c r="I454" s="2">
        <v>263.33</v>
      </c>
      <c r="J454" s="2">
        <v>4205426.8</v>
      </c>
      <c r="K454" s="2">
        <v>2532971.27</v>
      </c>
    </row>
    <row r="455" spans="1:11" x14ac:dyDescent="0.3">
      <c r="A455" s="4" t="s">
        <v>458</v>
      </c>
      <c r="B455" s="4" t="s">
        <v>1178</v>
      </c>
      <c r="C455" s="4" t="s">
        <v>19</v>
      </c>
      <c r="D455" s="1">
        <v>43938</v>
      </c>
      <c r="E455" s="4">
        <v>466092240</v>
      </c>
      <c r="F455" s="1">
        <v>43964</v>
      </c>
      <c r="G455" s="3">
        <v>5906</v>
      </c>
      <c r="H455" s="2">
        <v>154.06</v>
      </c>
      <c r="I455" s="2">
        <v>90.93</v>
      </c>
      <c r="J455" s="2">
        <v>909878.36</v>
      </c>
      <c r="K455" s="2">
        <v>537032.58000000007</v>
      </c>
    </row>
    <row r="456" spans="1:11" x14ac:dyDescent="0.3">
      <c r="A456" s="4" t="s">
        <v>459</v>
      </c>
      <c r="B456" s="4" t="s">
        <v>1168</v>
      </c>
      <c r="C456" s="4" t="s">
        <v>19</v>
      </c>
      <c r="D456" s="1">
        <v>44804</v>
      </c>
      <c r="E456" s="4">
        <v>498948657</v>
      </c>
      <c r="F456" s="1">
        <v>44820</v>
      </c>
      <c r="G456" s="3">
        <v>8850</v>
      </c>
      <c r="H456" s="2">
        <v>255.28</v>
      </c>
      <c r="I456" s="2">
        <v>159.41999999999999</v>
      </c>
      <c r="J456" s="2">
        <v>2259228</v>
      </c>
      <c r="K456" s="2">
        <v>1410867</v>
      </c>
    </row>
    <row r="457" spans="1:11" x14ac:dyDescent="0.3">
      <c r="A457" s="4" t="s">
        <v>460</v>
      </c>
      <c r="B457" s="4" t="s">
        <v>1182</v>
      </c>
      <c r="C457" s="4" t="s">
        <v>17</v>
      </c>
      <c r="D457" s="1">
        <v>44260</v>
      </c>
      <c r="E457" s="4">
        <v>368726766</v>
      </c>
      <c r="F457" s="1">
        <v>44279</v>
      </c>
      <c r="G457" s="3">
        <v>3299</v>
      </c>
      <c r="H457" s="2">
        <v>668.27</v>
      </c>
      <c r="I457" s="2">
        <v>502.54</v>
      </c>
      <c r="J457" s="2">
        <v>2204622.73</v>
      </c>
      <c r="K457" s="2">
        <v>1657879.46</v>
      </c>
    </row>
    <row r="458" spans="1:11" x14ac:dyDescent="0.3">
      <c r="A458" s="4" t="s">
        <v>30</v>
      </c>
      <c r="B458" s="4" t="s">
        <v>1170</v>
      </c>
      <c r="C458" s="4" t="s">
        <v>17</v>
      </c>
      <c r="D458" s="1">
        <v>44058</v>
      </c>
      <c r="E458" s="4">
        <v>494225394</v>
      </c>
      <c r="F458" s="1">
        <v>44098</v>
      </c>
      <c r="G458" s="3">
        <v>1132</v>
      </c>
      <c r="H458" s="2">
        <v>47.45</v>
      </c>
      <c r="I458" s="2">
        <v>31.79</v>
      </c>
      <c r="J458" s="2">
        <v>53713.4</v>
      </c>
      <c r="K458" s="2">
        <v>35986.28</v>
      </c>
    </row>
    <row r="459" spans="1:11" x14ac:dyDescent="0.3">
      <c r="A459" s="4" t="s">
        <v>461</v>
      </c>
      <c r="B459" s="4" t="s">
        <v>1172</v>
      </c>
      <c r="C459" s="4" t="s">
        <v>17</v>
      </c>
      <c r="D459" s="1">
        <v>44007</v>
      </c>
      <c r="E459" s="4">
        <v>914555871</v>
      </c>
      <c r="F459" s="1">
        <v>44054</v>
      </c>
      <c r="G459" s="3">
        <v>6261</v>
      </c>
      <c r="H459" s="2">
        <v>437.2</v>
      </c>
      <c r="I459" s="2">
        <v>263.33</v>
      </c>
      <c r="J459" s="2">
        <v>2737309.1999999997</v>
      </c>
      <c r="K459" s="2">
        <v>1648709.13</v>
      </c>
    </row>
    <row r="460" spans="1:11" x14ac:dyDescent="0.3">
      <c r="A460" s="4" t="s">
        <v>462</v>
      </c>
      <c r="B460" s="4" t="s">
        <v>1180</v>
      </c>
      <c r="C460" s="4" t="s">
        <v>19</v>
      </c>
      <c r="D460" s="1">
        <v>44589</v>
      </c>
      <c r="E460" s="4">
        <v>839142024</v>
      </c>
      <c r="F460" s="1">
        <v>44635</v>
      </c>
      <c r="G460" s="3">
        <v>9627</v>
      </c>
      <c r="H460" s="2">
        <v>109.28</v>
      </c>
      <c r="I460" s="2">
        <v>35.840000000000003</v>
      </c>
      <c r="J460" s="2">
        <v>1052038.56</v>
      </c>
      <c r="K460" s="2">
        <v>345031.68000000005</v>
      </c>
    </row>
    <row r="461" spans="1:11" x14ac:dyDescent="0.3">
      <c r="A461" s="4" t="s">
        <v>463</v>
      </c>
      <c r="B461" s="4" t="s">
        <v>1170</v>
      </c>
      <c r="C461" s="4" t="s">
        <v>19</v>
      </c>
      <c r="D461" s="1">
        <v>44342</v>
      </c>
      <c r="E461" s="4">
        <v>897720181</v>
      </c>
      <c r="F461" s="1">
        <v>44349</v>
      </c>
      <c r="G461" s="3">
        <v>4206</v>
      </c>
      <c r="H461" s="2">
        <v>47.45</v>
      </c>
      <c r="I461" s="2">
        <v>31.79</v>
      </c>
      <c r="J461" s="2">
        <v>199574.7</v>
      </c>
      <c r="K461" s="2">
        <v>133708.74</v>
      </c>
    </row>
    <row r="462" spans="1:11" x14ac:dyDescent="0.3">
      <c r="A462" s="4" t="s">
        <v>464</v>
      </c>
      <c r="B462" s="4" t="s">
        <v>1170</v>
      </c>
      <c r="C462" s="4" t="s">
        <v>12</v>
      </c>
      <c r="D462" s="1">
        <v>44560</v>
      </c>
      <c r="E462" s="4">
        <v>890339171</v>
      </c>
      <c r="F462" s="1">
        <v>44601</v>
      </c>
      <c r="G462" s="3">
        <v>1</v>
      </c>
      <c r="H462" s="2">
        <v>47.45</v>
      </c>
      <c r="I462" s="2">
        <v>31.79</v>
      </c>
      <c r="J462" s="2">
        <v>47.45</v>
      </c>
      <c r="K462" s="2">
        <v>31.79</v>
      </c>
    </row>
    <row r="463" spans="1:11" x14ac:dyDescent="0.3">
      <c r="A463" s="4" t="s">
        <v>465</v>
      </c>
      <c r="B463" s="4" t="s">
        <v>1160</v>
      </c>
      <c r="C463" s="4" t="s">
        <v>17</v>
      </c>
      <c r="D463" s="1">
        <v>44599</v>
      </c>
      <c r="E463" s="4">
        <v>237360322</v>
      </c>
      <c r="F463" s="1">
        <v>44616</v>
      </c>
      <c r="G463" s="3">
        <v>9049</v>
      </c>
      <c r="H463" s="2">
        <v>152.58000000000001</v>
      </c>
      <c r="I463" s="2">
        <v>97.44</v>
      </c>
      <c r="J463" s="2">
        <v>1380696.4200000002</v>
      </c>
      <c r="K463" s="2">
        <v>881734.55999999994</v>
      </c>
    </row>
    <row r="464" spans="1:11" x14ac:dyDescent="0.3">
      <c r="A464" s="4" t="s">
        <v>466</v>
      </c>
      <c r="B464" s="4" t="s">
        <v>1180</v>
      </c>
      <c r="C464" s="4" t="s">
        <v>14</v>
      </c>
      <c r="D464" s="1">
        <v>44480</v>
      </c>
      <c r="E464" s="4">
        <v>229457461</v>
      </c>
      <c r="F464" s="1">
        <v>44526</v>
      </c>
      <c r="G464" s="3">
        <v>417</v>
      </c>
      <c r="H464" s="2">
        <v>109.28</v>
      </c>
      <c r="I464" s="2">
        <v>35.840000000000003</v>
      </c>
      <c r="J464" s="2">
        <v>45569.760000000002</v>
      </c>
      <c r="K464" s="2">
        <v>14945.28</v>
      </c>
    </row>
    <row r="465" spans="1:11" x14ac:dyDescent="0.3">
      <c r="A465" s="4" t="s">
        <v>467</v>
      </c>
      <c r="B465" s="4" t="s">
        <v>1174</v>
      </c>
      <c r="C465" s="4" t="s">
        <v>19</v>
      </c>
      <c r="D465" s="1">
        <v>44375</v>
      </c>
      <c r="E465" s="4">
        <v>877616918</v>
      </c>
      <c r="F465" s="1">
        <v>44375</v>
      </c>
      <c r="G465" s="3">
        <v>5203</v>
      </c>
      <c r="H465" s="2">
        <v>81.73</v>
      </c>
      <c r="I465" s="2">
        <v>56.67</v>
      </c>
      <c r="J465" s="2">
        <v>425241.19</v>
      </c>
      <c r="K465" s="2">
        <v>294854.01</v>
      </c>
    </row>
    <row r="466" spans="1:11" x14ac:dyDescent="0.3">
      <c r="A466" s="4" t="s">
        <v>468</v>
      </c>
      <c r="B466" s="4" t="s">
        <v>1178</v>
      </c>
      <c r="C466" s="4" t="s">
        <v>17</v>
      </c>
      <c r="D466" s="1">
        <v>44076</v>
      </c>
      <c r="E466" s="4">
        <v>463137519</v>
      </c>
      <c r="F466" s="1">
        <v>44118</v>
      </c>
      <c r="G466" s="3">
        <v>1539</v>
      </c>
      <c r="H466" s="2">
        <v>154.06</v>
      </c>
      <c r="I466" s="2">
        <v>90.93</v>
      </c>
      <c r="J466" s="2">
        <v>237098.34</v>
      </c>
      <c r="K466" s="2">
        <v>139941.27000000002</v>
      </c>
    </row>
    <row r="467" spans="1:11" x14ac:dyDescent="0.3">
      <c r="A467" s="4" t="s">
        <v>469</v>
      </c>
      <c r="B467" s="4" t="s">
        <v>1174</v>
      </c>
      <c r="C467" s="4" t="s">
        <v>12</v>
      </c>
      <c r="D467" s="1">
        <v>44571</v>
      </c>
      <c r="E467" s="4">
        <v>487630593</v>
      </c>
      <c r="F467" s="1">
        <v>44617</v>
      </c>
      <c r="G467" s="3">
        <v>9584</v>
      </c>
      <c r="H467" s="2">
        <v>81.73</v>
      </c>
      <c r="I467" s="2">
        <v>56.67</v>
      </c>
      <c r="J467" s="2">
        <v>783300.32000000007</v>
      </c>
      <c r="K467" s="2">
        <v>543125.28</v>
      </c>
    </row>
    <row r="468" spans="1:11" x14ac:dyDescent="0.3">
      <c r="A468" s="4" t="s">
        <v>470</v>
      </c>
      <c r="B468" s="4" t="s">
        <v>1178</v>
      </c>
      <c r="C468" s="4" t="s">
        <v>12</v>
      </c>
      <c r="D468" s="1">
        <v>44380</v>
      </c>
      <c r="E468" s="4">
        <v>723019969</v>
      </c>
      <c r="F468" s="1">
        <v>44404</v>
      </c>
      <c r="G468" s="3">
        <v>6531</v>
      </c>
      <c r="H468" s="2">
        <v>154.06</v>
      </c>
      <c r="I468" s="2">
        <v>90.93</v>
      </c>
      <c r="J468" s="2">
        <v>1006165.86</v>
      </c>
      <c r="K468" s="2">
        <v>593863.83000000007</v>
      </c>
    </row>
    <row r="469" spans="1:11" x14ac:dyDescent="0.3">
      <c r="A469" s="4" t="s">
        <v>471</v>
      </c>
      <c r="B469" s="4" t="s">
        <v>1168</v>
      </c>
      <c r="C469" s="4" t="s">
        <v>19</v>
      </c>
      <c r="D469" s="1">
        <v>44261</v>
      </c>
      <c r="E469" s="4">
        <v>561541974</v>
      </c>
      <c r="F469" s="1">
        <v>44265</v>
      </c>
      <c r="G469" s="3">
        <v>1604</v>
      </c>
      <c r="H469" s="2">
        <v>255.28</v>
      </c>
      <c r="I469" s="2">
        <v>159.41999999999999</v>
      </c>
      <c r="J469" s="2">
        <v>409469.12</v>
      </c>
      <c r="K469" s="2">
        <v>255709.68</v>
      </c>
    </row>
    <row r="470" spans="1:11" x14ac:dyDescent="0.3">
      <c r="A470" s="4" t="s">
        <v>472</v>
      </c>
      <c r="B470" s="4" t="s">
        <v>1178</v>
      </c>
      <c r="C470" s="4" t="s">
        <v>14</v>
      </c>
      <c r="D470" s="1">
        <v>44596</v>
      </c>
      <c r="E470" s="4">
        <v>365745437</v>
      </c>
      <c r="F470" s="1">
        <v>44596</v>
      </c>
      <c r="G470" s="3">
        <v>1057</v>
      </c>
      <c r="H470" s="2">
        <v>154.06</v>
      </c>
      <c r="I470" s="2">
        <v>90.93</v>
      </c>
      <c r="J470" s="2">
        <v>162841.42000000001</v>
      </c>
      <c r="K470" s="2">
        <v>96113.010000000009</v>
      </c>
    </row>
    <row r="471" spans="1:11" x14ac:dyDescent="0.3">
      <c r="A471" s="4" t="s">
        <v>473</v>
      </c>
      <c r="B471" s="4" t="s">
        <v>1182</v>
      </c>
      <c r="C471" s="4" t="s">
        <v>14</v>
      </c>
      <c r="D471" s="1">
        <v>44869</v>
      </c>
      <c r="E471" s="4">
        <v>118491685</v>
      </c>
      <c r="F471" s="1">
        <v>44909</v>
      </c>
      <c r="G471" s="3">
        <v>3178</v>
      </c>
      <c r="H471" s="2">
        <v>668.27</v>
      </c>
      <c r="I471" s="2">
        <v>502.54</v>
      </c>
      <c r="J471" s="2">
        <v>2123762.06</v>
      </c>
      <c r="K471" s="2">
        <v>1597072.12</v>
      </c>
    </row>
    <row r="472" spans="1:11" x14ac:dyDescent="0.3">
      <c r="A472" s="4" t="s">
        <v>474</v>
      </c>
      <c r="B472" s="4" t="s">
        <v>1182</v>
      </c>
      <c r="C472" s="4" t="s">
        <v>14</v>
      </c>
      <c r="D472" s="1">
        <v>44190</v>
      </c>
      <c r="E472" s="4">
        <v>772954547</v>
      </c>
      <c r="F472" s="1">
        <v>44230</v>
      </c>
      <c r="G472" s="3">
        <v>3282</v>
      </c>
      <c r="H472" s="2">
        <v>668.27</v>
      </c>
      <c r="I472" s="2">
        <v>502.54</v>
      </c>
      <c r="J472" s="2">
        <v>2193262.14</v>
      </c>
      <c r="K472" s="2">
        <v>1649336.28</v>
      </c>
    </row>
    <row r="473" spans="1:11" x14ac:dyDescent="0.3">
      <c r="A473" s="4" t="s">
        <v>475</v>
      </c>
      <c r="B473" s="4" t="s">
        <v>1178</v>
      </c>
      <c r="C473" s="4" t="s">
        <v>19</v>
      </c>
      <c r="D473" s="1">
        <v>43903</v>
      </c>
      <c r="E473" s="4">
        <v>202620351</v>
      </c>
      <c r="F473" s="1">
        <v>43932</v>
      </c>
      <c r="G473" s="3">
        <v>8719</v>
      </c>
      <c r="H473" s="2">
        <v>154.06</v>
      </c>
      <c r="I473" s="2">
        <v>90.93</v>
      </c>
      <c r="J473" s="2">
        <v>1343249.1400000001</v>
      </c>
      <c r="K473" s="2">
        <v>792818.67</v>
      </c>
    </row>
    <row r="474" spans="1:11" x14ac:dyDescent="0.3">
      <c r="A474" s="4" t="s">
        <v>476</v>
      </c>
      <c r="B474" s="4" t="s">
        <v>1166</v>
      </c>
      <c r="C474" s="4" t="s">
        <v>17</v>
      </c>
      <c r="D474" s="1">
        <v>43933</v>
      </c>
      <c r="E474" s="4">
        <v>851287925</v>
      </c>
      <c r="F474" s="1">
        <v>43957</v>
      </c>
      <c r="G474" s="3">
        <v>3869</v>
      </c>
      <c r="H474" s="2">
        <v>9.33</v>
      </c>
      <c r="I474" s="2">
        <v>6.92</v>
      </c>
      <c r="J474" s="2">
        <v>36097.769999999997</v>
      </c>
      <c r="K474" s="2">
        <v>26773.48</v>
      </c>
    </row>
    <row r="475" spans="1:11" x14ac:dyDescent="0.3">
      <c r="A475" s="4" t="s">
        <v>477</v>
      </c>
      <c r="B475" s="4" t="s">
        <v>1178</v>
      </c>
      <c r="C475" s="4" t="s">
        <v>12</v>
      </c>
      <c r="D475" s="1">
        <v>44352</v>
      </c>
      <c r="E475" s="4">
        <v>283068597</v>
      </c>
      <c r="F475" s="1">
        <v>44360</v>
      </c>
      <c r="G475" s="3">
        <v>5143</v>
      </c>
      <c r="H475" s="2">
        <v>154.06</v>
      </c>
      <c r="I475" s="2">
        <v>90.93</v>
      </c>
      <c r="J475" s="2">
        <v>792330.58</v>
      </c>
      <c r="K475" s="2">
        <v>467652.99000000005</v>
      </c>
    </row>
    <row r="476" spans="1:11" x14ac:dyDescent="0.3">
      <c r="A476" s="4" t="s">
        <v>478</v>
      </c>
      <c r="B476" s="4" t="s">
        <v>1170</v>
      </c>
      <c r="C476" s="4" t="s">
        <v>19</v>
      </c>
      <c r="D476" s="1">
        <v>44857</v>
      </c>
      <c r="E476" s="4">
        <v>632386195</v>
      </c>
      <c r="F476" s="1">
        <v>44907</v>
      </c>
      <c r="G476" s="3">
        <v>5983</v>
      </c>
      <c r="H476" s="2">
        <v>47.45</v>
      </c>
      <c r="I476" s="2">
        <v>31.79</v>
      </c>
      <c r="J476" s="2">
        <v>283893.35000000003</v>
      </c>
      <c r="K476" s="2">
        <v>190199.57</v>
      </c>
    </row>
    <row r="477" spans="1:11" x14ac:dyDescent="0.3">
      <c r="A477" s="4" t="s">
        <v>479</v>
      </c>
      <c r="B477" s="4" t="s">
        <v>1160</v>
      </c>
      <c r="C477" s="4" t="s">
        <v>12</v>
      </c>
      <c r="D477" s="1">
        <v>44247</v>
      </c>
      <c r="E477" s="4">
        <v>953977048</v>
      </c>
      <c r="F477" s="1">
        <v>44277</v>
      </c>
      <c r="G477" s="3">
        <v>1863</v>
      </c>
      <c r="H477" s="2">
        <v>152.58000000000001</v>
      </c>
      <c r="I477" s="2">
        <v>97.44</v>
      </c>
      <c r="J477" s="2">
        <v>284256.54000000004</v>
      </c>
      <c r="K477" s="2">
        <v>181530.72</v>
      </c>
    </row>
    <row r="478" spans="1:11" x14ac:dyDescent="0.3">
      <c r="A478" s="4" t="s">
        <v>480</v>
      </c>
      <c r="B478" s="4" t="s">
        <v>1172</v>
      </c>
      <c r="C478" s="4" t="s">
        <v>17</v>
      </c>
      <c r="D478" s="1">
        <v>44078</v>
      </c>
      <c r="E478" s="4">
        <v>372889983</v>
      </c>
      <c r="F478" s="1">
        <v>44099</v>
      </c>
      <c r="G478" s="3">
        <v>5287</v>
      </c>
      <c r="H478" s="2">
        <v>437.2</v>
      </c>
      <c r="I478" s="2">
        <v>263.33</v>
      </c>
      <c r="J478" s="2">
        <v>2311476.4</v>
      </c>
      <c r="K478" s="2">
        <v>1392225.71</v>
      </c>
    </row>
    <row r="479" spans="1:11" x14ac:dyDescent="0.3">
      <c r="A479" s="4" t="s">
        <v>481</v>
      </c>
      <c r="B479" s="4" t="s">
        <v>1180</v>
      </c>
      <c r="C479" s="4" t="s">
        <v>19</v>
      </c>
      <c r="D479" s="1">
        <v>43966</v>
      </c>
      <c r="E479" s="4">
        <v>334486329</v>
      </c>
      <c r="F479" s="1">
        <v>43973</v>
      </c>
      <c r="G479" s="3">
        <v>793</v>
      </c>
      <c r="H479" s="2">
        <v>109.28</v>
      </c>
      <c r="I479" s="2">
        <v>35.840000000000003</v>
      </c>
      <c r="J479" s="2">
        <v>86659.040000000008</v>
      </c>
      <c r="K479" s="2">
        <v>28421.120000000003</v>
      </c>
    </row>
    <row r="480" spans="1:11" x14ac:dyDescent="0.3">
      <c r="A480" s="4" t="s">
        <v>482</v>
      </c>
      <c r="B480" s="4" t="s">
        <v>1178</v>
      </c>
      <c r="C480" s="4" t="s">
        <v>19</v>
      </c>
      <c r="D480" s="1">
        <v>44194</v>
      </c>
      <c r="E480" s="4">
        <v>554439914</v>
      </c>
      <c r="F480" s="1">
        <v>44204</v>
      </c>
      <c r="G480" s="3">
        <v>9946</v>
      </c>
      <c r="H480" s="2">
        <v>154.06</v>
      </c>
      <c r="I480" s="2">
        <v>90.93</v>
      </c>
      <c r="J480" s="2">
        <v>1532280.76</v>
      </c>
      <c r="K480" s="2">
        <v>904389.78</v>
      </c>
    </row>
    <row r="481" spans="1:11" x14ac:dyDescent="0.3">
      <c r="A481" s="4" t="s">
        <v>460</v>
      </c>
      <c r="B481" s="4" t="s">
        <v>1182</v>
      </c>
      <c r="C481" s="4" t="s">
        <v>19</v>
      </c>
      <c r="D481" s="1">
        <v>44150</v>
      </c>
      <c r="E481" s="4">
        <v>368737065</v>
      </c>
      <c r="F481" s="1">
        <v>44166</v>
      </c>
      <c r="G481" s="3">
        <v>6347</v>
      </c>
      <c r="H481" s="2">
        <v>668.27</v>
      </c>
      <c r="I481" s="2">
        <v>502.54</v>
      </c>
      <c r="J481" s="2">
        <v>4241509.6899999995</v>
      </c>
      <c r="K481" s="2">
        <v>3189621.3800000004</v>
      </c>
    </row>
    <row r="482" spans="1:11" x14ac:dyDescent="0.3">
      <c r="A482" s="4" t="s">
        <v>483</v>
      </c>
      <c r="B482" s="4" t="s">
        <v>1176</v>
      </c>
      <c r="C482" s="4" t="s">
        <v>17</v>
      </c>
      <c r="D482" s="1">
        <v>43889</v>
      </c>
      <c r="E482" s="4">
        <v>983676612</v>
      </c>
      <c r="F482" s="1">
        <v>43939</v>
      </c>
      <c r="G482" s="3">
        <v>624</v>
      </c>
      <c r="H482" s="2">
        <v>651.21</v>
      </c>
      <c r="I482" s="2">
        <v>524.96</v>
      </c>
      <c r="J482" s="2">
        <v>406355.04000000004</v>
      </c>
      <c r="K482" s="2">
        <v>327575.04000000004</v>
      </c>
    </row>
    <row r="483" spans="1:11" x14ac:dyDescent="0.3">
      <c r="A483" s="4" t="s">
        <v>484</v>
      </c>
      <c r="B483" s="4" t="s">
        <v>1164</v>
      </c>
      <c r="C483" s="4" t="s">
        <v>19</v>
      </c>
      <c r="D483" s="1">
        <v>44657</v>
      </c>
      <c r="E483" s="4">
        <v>525869882</v>
      </c>
      <c r="F483" s="1">
        <v>44703</v>
      </c>
      <c r="G483" s="3">
        <v>5439</v>
      </c>
      <c r="H483" s="2">
        <v>205.7</v>
      </c>
      <c r="I483" s="2">
        <v>117.11</v>
      </c>
      <c r="J483" s="2">
        <v>1118802.3</v>
      </c>
      <c r="K483" s="2">
        <v>636961.29</v>
      </c>
    </row>
    <row r="484" spans="1:11" x14ac:dyDescent="0.3">
      <c r="A484" s="4" t="s">
        <v>485</v>
      </c>
      <c r="B484" s="4" t="s">
        <v>1166</v>
      </c>
      <c r="C484" s="4" t="s">
        <v>14</v>
      </c>
      <c r="D484" s="1">
        <v>44193</v>
      </c>
      <c r="E484" s="4">
        <v>792240703</v>
      </c>
      <c r="F484" s="1">
        <v>44225</v>
      </c>
      <c r="G484" s="3">
        <v>484</v>
      </c>
      <c r="H484" s="2">
        <v>9.33</v>
      </c>
      <c r="I484" s="2">
        <v>6.92</v>
      </c>
      <c r="J484" s="2">
        <v>4515.72</v>
      </c>
      <c r="K484" s="2">
        <v>3349.2799999999997</v>
      </c>
    </row>
    <row r="485" spans="1:11" x14ac:dyDescent="0.3">
      <c r="A485" s="4" t="s">
        <v>486</v>
      </c>
      <c r="B485" s="4" t="s">
        <v>1164</v>
      </c>
      <c r="C485" s="4" t="s">
        <v>14</v>
      </c>
      <c r="D485" s="1">
        <v>44560</v>
      </c>
      <c r="E485" s="4">
        <v>500025403</v>
      </c>
      <c r="F485" s="1">
        <v>44607</v>
      </c>
      <c r="G485" s="3">
        <v>7483</v>
      </c>
      <c r="H485" s="2">
        <v>205.7</v>
      </c>
      <c r="I485" s="2">
        <v>117.11</v>
      </c>
      <c r="J485" s="2">
        <v>1539253.0999999999</v>
      </c>
      <c r="K485" s="2">
        <v>876334.13</v>
      </c>
    </row>
    <row r="486" spans="1:11" x14ac:dyDescent="0.3">
      <c r="A486" s="4" t="s">
        <v>487</v>
      </c>
      <c r="B486" s="4" t="s">
        <v>1166</v>
      </c>
      <c r="C486" s="4" t="s">
        <v>17</v>
      </c>
      <c r="D486" s="1">
        <v>44311</v>
      </c>
      <c r="E486" s="4">
        <v>236772811</v>
      </c>
      <c r="F486" s="1">
        <v>44327</v>
      </c>
      <c r="G486" s="3">
        <v>5191</v>
      </c>
      <c r="H486" s="2">
        <v>9.33</v>
      </c>
      <c r="I486" s="2">
        <v>6.92</v>
      </c>
      <c r="J486" s="2">
        <v>48432.03</v>
      </c>
      <c r="K486" s="2">
        <v>35921.72</v>
      </c>
    </row>
    <row r="487" spans="1:11" x14ac:dyDescent="0.3">
      <c r="A487" s="4" t="s">
        <v>488</v>
      </c>
      <c r="B487" s="4" t="s">
        <v>1182</v>
      </c>
      <c r="C487" s="4" t="s">
        <v>19</v>
      </c>
      <c r="D487" s="1">
        <v>44238</v>
      </c>
      <c r="E487" s="4">
        <v>210344254</v>
      </c>
      <c r="F487" s="1">
        <v>44270</v>
      </c>
      <c r="G487" s="3">
        <v>4394</v>
      </c>
      <c r="H487" s="2">
        <v>668.27</v>
      </c>
      <c r="I487" s="2">
        <v>502.54</v>
      </c>
      <c r="J487" s="2">
        <v>2936378.38</v>
      </c>
      <c r="K487" s="2">
        <v>2208160.7600000002</v>
      </c>
    </row>
    <row r="488" spans="1:11" x14ac:dyDescent="0.3">
      <c r="A488" s="4" t="s">
        <v>489</v>
      </c>
      <c r="B488" s="4" t="s">
        <v>1180</v>
      </c>
      <c r="C488" s="4" t="s">
        <v>12</v>
      </c>
      <c r="D488" s="1">
        <v>44754</v>
      </c>
      <c r="E488" s="4">
        <v>698913562</v>
      </c>
      <c r="F488" s="1">
        <v>44775</v>
      </c>
      <c r="G488" s="3">
        <v>2909</v>
      </c>
      <c r="H488" s="2">
        <v>109.28</v>
      </c>
      <c r="I488" s="2">
        <v>35.840000000000003</v>
      </c>
      <c r="J488" s="2">
        <v>317895.52</v>
      </c>
      <c r="K488" s="2">
        <v>104258.56000000001</v>
      </c>
    </row>
    <row r="489" spans="1:11" x14ac:dyDescent="0.3">
      <c r="A489" s="4" t="s">
        <v>490</v>
      </c>
      <c r="B489" s="4" t="s">
        <v>1178</v>
      </c>
      <c r="C489" s="4" t="s">
        <v>19</v>
      </c>
      <c r="D489" s="1">
        <v>44333</v>
      </c>
      <c r="E489" s="4">
        <v>700967061</v>
      </c>
      <c r="F489" s="1">
        <v>44360</v>
      </c>
      <c r="G489" s="3">
        <v>585</v>
      </c>
      <c r="H489" s="2">
        <v>154.06</v>
      </c>
      <c r="I489" s="2">
        <v>90.93</v>
      </c>
      <c r="J489" s="2">
        <v>90125.1</v>
      </c>
      <c r="K489" s="2">
        <v>53194.05</v>
      </c>
    </row>
    <row r="490" spans="1:11" x14ac:dyDescent="0.3">
      <c r="A490" s="4" t="s">
        <v>491</v>
      </c>
      <c r="B490" s="4" t="s">
        <v>1180</v>
      </c>
      <c r="C490" s="4" t="s">
        <v>17</v>
      </c>
      <c r="D490" s="1">
        <v>44204</v>
      </c>
      <c r="E490" s="4">
        <v>185303580</v>
      </c>
      <c r="F490" s="1">
        <v>44234</v>
      </c>
      <c r="G490" s="3">
        <v>4302</v>
      </c>
      <c r="H490" s="2">
        <v>109.28</v>
      </c>
      <c r="I490" s="2">
        <v>35.840000000000003</v>
      </c>
      <c r="J490" s="2">
        <v>470122.56</v>
      </c>
      <c r="K490" s="2">
        <v>154183.68000000002</v>
      </c>
    </row>
    <row r="491" spans="1:11" x14ac:dyDescent="0.3">
      <c r="A491" s="4" t="s">
        <v>492</v>
      </c>
      <c r="B491" s="4" t="s">
        <v>1174</v>
      </c>
      <c r="C491" s="4" t="s">
        <v>14</v>
      </c>
      <c r="D491" s="1">
        <v>44701</v>
      </c>
      <c r="E491" s="4">
        <v>541034448</v>
      </c>
      <c r="F491" s="1">
        <v>44723</v>
      </c>
      <c r="G491" s="3">
        <v>2971</v>
      </c>
      <c r="H491" s="2">
        <v>81.73</v>
      </c>
      <c r="I491" s="2">
        <v>56.67</v>
      </c>
      <c r="J491" s="2">
        <v>242819.83000000002</v>
      </c>
      <c r="K491" s="2">
        <v>168366.57</v>
      </c>
    </row>
    <row r="492" spans="1:11" x14ac:dyDescent="0.3">
      <c r="A492" s="4" t="s">
        <v>493</v>
      </c>
      <c r="B492" s="4" t="s">
        <v>1168</v>
      </c>
      <c r="C492" s="4" t="s">
        <v>17</v>
      </c>
      <c r="D492" s="1">
        <v>44737</v>
      </c>
      <c r="E492" s="4">
        <v>527583491</v>
      </c>
      <c r="F492" s="1">
        <v>44773</v>
      </c>
      <c r="G492" s="3">
        <v>2534</v>
      </c>
      <c r="H492" s="2">
        <v>255.28</v>
      </c>
      <c r="I492" s="2">
        <v>159.41999999999999</v>
      </c>
      <c r="J492" s="2">
        <v>646879.52</v>
      </c>
      <c r="K492" s="2">
        <v>403970.27999999997</v>
      </c>
    </row>
    <row r="493" spans="1:11" x14ac:dyDescent="0.3">
      <c r="A493" s="4" t="s">
        <v>494</v>
      </c>
      <c r="B493" s="4" t="s">
        <v>1174</v>
      </c>
      <c r="C493" s="4" t="s">
        <v>12</v>
      </c>
      <c r="D493" s="1">
        <v>44417</v>
      </c>
      <c r="E493" s="4">
        <v>324687039</v>
      </c>
      <c r="F493" s="1">
        <v>44433</v>
      </c>
      <c r="G493" s="3">
        <v>965</v>
      </c>
      <c r="H493" s="2">
        <v>81.73</v>
      </c>
      <c r="I493" s="2">
        <v>56.67</v>
      </c>
      <c r="J493" s="2">
        <v>78869.45</v>
      </c>
      <c r="K493" s="2">
        <v>54686.55</v>
      </c>
    </row>
    <row r="494" spans="1:11" x14ac:dyDescent="0.3">
      <c r="A494" s="4" t="s">
        <v>495</v>
      </c>
      <c r="B494" s="4" t="s">
        <v>1172</v>
      </c>
      <c r="C494" s="4" t="s">
        <v>19</v>
      </c>
      <c r="D494" s="1">
        <v>44513</v>
      </c>
      <c r="E494" s="4">
        <v>182393920</v>
      </c>
      <c r="F494" s="1">
        <v>44561</v>
      </c>
      <c r="G494" s="3">
        <v>3269</v>
      </c>
      <c r="H494" s="2">
        <v>437.2</v>
      </c>
      <c r="I494" s="2">
        <v>263.33</v>
      </c>
      <c r="J494" s="2">
        <v>1429206.8</v>
      </c>
      <c r="K494" s="2">
        <v>860825.7699999999</v>
      </c>
    </row>
    <row r="495" spans="1:11" x14ac:dyDescent="0.3">
      <c r="A495" s="4" t="s">
        <v>496</v>
      </c>
      <c r="B495" s="4" t="s">
        <v>1166</v>
      </c>
      <c r="C495" s="4" t="s">
        <v>12</v>
      </c>
      <c r="D495" s="1">
        <v>43859</v>
      </c>
      <c r="E495" s="4">
        <v>871065461</v>
      </c>
      <c r="F495" s="1">
        <v>43884</v>
      </c>
      <c r="G495" s="3">
        <v>6482</v>
      </c>
      <c r="H495" s="2">
        <v>9.33</v>
      </c>
      <c r="I495" s="2">
        <v>6.92</v>
      </c>
      <c r="J495" s="2">
        <v>60477.06</v>
      </c>
      <c r="K495" s="2">
        <v>44855.44</v>
      </c>
    </row>
    <row r="496" spans="1:11" x14ac:dyDescent="0.3">
      <c r="A496" s="4" t="s">
        <v>497</v>
      </c>
      <c r="B496" s="4" t="s">
        <v>1176</v>
      </c>
      <c r="C496" s="4" t="s">
        <v>14</v>
      </c>
      <c r="D496" s="1">
        <v>44043</v>
      </c>
      <c r="E496" s="4">
        <v>531375491</v>
      </c>
      <c r="F496" s="1">
        <v>44077</v>
      </c>
      <c r="G496" s="3">
        <v>4671</v>
      </c>
      <c r="H496" s="2">
        <v>651.21</v>
      </c>
      <c r="I496" s="2">
        <v>524.96</v>
      </c>
      <c r="J496" s="2">
        <v>3041801.91</v>
      </c>
      <c r="K496" s="2">
        <v>2452088.16</v>
      </c>
    </row>
    <row r="497" spans="1:11" x14ac:dyDescent="0.3">
      <c r="A497" s="4" t="s">
        <v>498</v>
      </c>
      <c r="B497" s="4" t="s">
        <v>1164</v>
      </c>
      <c r="C497" s="4" t="s">
        <v>17</v>
      </c>
      <c r="D497" s="1">
        <v>44713</v>
      </c>
      <c r="E497" s="4">
        <v>524310338</v>
      </c>
      <c r="F497" s="1">
        <v>44735</v>
      </c>
      <c r="G497" s="3">
        <v>3935</v>
      </c>
      <c r="H497" s="2">
        <v>205.7</v>
      </c>
      <c r="I497" s="2">
        <v>117.11</v>
      </c>
      <c r="J497" s="2">
        <v>809429.5</v>
      </c>
      <c r="K497" s="2">
        <v>460827.85</v>
      </c>
    </row>
    <row r="498" spans="1:11" x14ac:dyDescent="0.3">
      <c r="A498" s="4" t="s">
        <v>499</v>
      </c>
      <c r="B498" s="4" t="s">
        <v>1160</v>
      </c>
      <c r="C498" s="4" t="s">
        <v>14</v>
      </c>
      <c r="D498" s="1">
        <v>44097</v>
      </c>
      <c r="E498" s="4">
        <v>481168830</v>
      </c>
      <c r="F498" s="1">
        <v>44124</v>
      </c>
      <c r="G498" s="3">
        <v>7404</v>
      </c>
      <c r="H498" s="2">
        <v>152.58000000000001</v>
      </c>
      <c r="I498" s="2">
        <v>97.44</v>
      </c>
      <c r="J498" s="2">
        <v>1129702.32</v>
      </c>
      <c r="K498" s="2">
        <v>721445.76</v>
      </c>
    </row>
    <row r="499" spans="1:11" x14ac:dyDescent="0.3">
      <c r="A499" s="4" t="s">
        <v>500</v>
      </c>
      <c r="B499" s="4" t="s">
        <v>1182</v>
      </c>
      <c r="C499" s="4" t="s">
        <v>19</v>
      </c>
      <c r="D499" s="1">
        <v>44747</v>
      </c>
      <c r="E499" s="4">
        <v>553562295</v>
      </c>
      <c r="F499" s="1">
        <v>44795</v>
      </c>
      <c r="G499" s="3">
        <v>239</v>
      </c>
      <c r="H499" s="2">
        <v>668.27</v>
      </c>
      <c r="I499" s="2">
        <v>502.54</v>
      </c>
      <c r="J499" s="2">
        <v>159716.53</v>
      </c>
      <c r="K499" s="2">
        <v>120107.06</v>
      </c>
    </row>
    <row r="500" spans="1:11" x14ac:dyDescent="0.3">
      <c r="A500" s="4" t="s">
        <v>501</v>
      </c>
      <c r="B500" s="4" t="s">
        <v>1164</v>
      </c>
      <c r="C500" s="4" t="s">
        <v>12</v>
      </c>
      <c r="D500" s="1">
        <v>44662</v>
      </c>
      <c r="E500" s="4">
        <v>963414561</v>
      </c>
      <c r="F500" s="1">
        <v>44685</v>
      </c>
      <c r="G500" s="3">
        <v>4633</v>
      </c>
      <c r="H500" s="2">
        <v>205.7</v>
      </c>
      <c r="I500" s="2">
        <v>117.11</v>
      </c>
      <c r="J500" s="2">
        <v>953008.1</v>
      </c>
      <c r="K500" s="2">
        <v>542570.63</v>
      </c>
    </row>
    <row r="501" spans="1:11" x14ac:dyDescent="0.3">
      <c r="A501" s="4" t="s">
        <v>502</v>
      </c>
      <c r="B501" s="4" t="s">
        <v>1164</v>
      </c>
      <c r="C501" s="4" t="s">
        <v>17</v>
      </c>
      <c r="D501" s="1">
        <v>44079</v>
      </c>
      <c r="E501" s="4">
        <v>652961957</v>
      </c>
      <c r="F501" s="1">
        <v>44081</v>
      </c>
      <c r="G501" s="3">
        <v>4808</v>
      </c>
      <c r="H501" s="2">
        <v>205.7</v>
      </c>
      <c r="I501" s="2">
        <v>117.11</v>
      </c>
      <c r="J501" s="2">
        <v>989005.6</v>
      </c>
      <c r="K501" s="2">
        <v>563064.88</v>
      </c>
    </row>
    <row r="502" spans="1:11" x14ac:dyDescent="0.3">
      <c r="A502" s="4" t="s">
        <v>503</v>
      </c>
      <c r="B502" s="4" t="s">
        <v>1160</v>
      </c>
      <c r="C502" s="4" t="s">
        <v>12</v>
      </c>
      <c r="D502" s="1">
        <v>43901</v>
      </c>
      <c r="E502" s="4">
        <v>434753310</v>
      </c>
      <c r="F502" s="1">
        <v>43928</v>
      </c>
      <c r="G502" s="3">
        <v>2021</v>
      </c>
      <c r="H502" s="2">
        <v>152.58000000000001</v>
      </c>
      <c r="I502" s="2">
        <v>97.44</v>
      </c>
      <c r="J502" s="2">
        <v>308364.18000000005</v>
      </c>
      <c r="K502" s="2">
        <v>196926.24</v>
      </c>
    </row>
    <row r="503" spans="1:11" x14ac:dyDescent="0.3">
      <c r="A503" s="4" t="s">
        <v>504</v>
      </c>
      <c r="B503" s="4" t="s">
        <v>1172</v>
      </c>
      <c r="C503" s="4" t="s">
        <v>17</v>
      </c>
      <c r="D503" s="1">
        <v>44133</v>
      </c>
      <c r="E503" s="4">
        <v>741649949</v>
      </c>
      <c r="F503" s="1">
        <v>44183</v>
      </c>
      <c r="G503" s="3">
        <v>9556</v>
      </c>
      <c r="H503" s="2">
        <v>437.2</v>
      </c>
      <c r="I503" s="2">
        <v>263.33</v>
      </c>
      <c r="J503" s="2">
        <v>4177883.1999999997</v>
      </c>
      <c r="K503" s="2">
        <v>2516381.48</v>
      </c>
    </row>
    <row r="504" spans="1:11" x14ac:dyDescent="0.3">
      <c r="A504" s="4" t="s">
        <v>505</v>
      </c>
      <c r="B504" s="4" t="s">
        <v>1166</v>
      </c>
      <c r="C504" s="4" t="s">
        <v>17</v>
      </c>
      <c r="D504" s="1">
        <v>44409</v>
      </c>
      <c r="E504" s="4">
        <v>276825702</v>
      </c>
      <c r="F504" s="1">
        <v>44419</v>
      </c>
      <c r="G504" s="3">
        <v>7732</v>
      </c>
      <c r="H504" s="2">
        <v>9.33</v>
      </c>
      <c r="I504" s="2">
        <v>6.92</v>
      </c>
      <c r="J504" s="2">
        <v>72139.56</v>
      </c>
      <c r="K504" s="2">
        <v>53505.440000000002</v>
      </c>
    </row>
    <row r="505" spans="1:11" x14ac:dyDescent="0.3">
      <c r="A505" s="4" t="s">
        <v>506</v>
      </c>
      <c r="B505" s="4" t="s">
        <v>1182</v>
      </c>
      <c r="C505" s="4" t="s">
        <v>19</v>
      </c>
      <c r="D505" s="1">
        <v>44506</v>
      </c>
      <c r="E505" s="4">
        <v>963766896</v>
      </c>
      <c r="F505" s="1">
        <v>44521</v>
      </c>
      <c r="G505" s="3">
        <v>8896</v>
      </c>
      <c r="H505" s="2">
        <v>668.27</v>
      </c>
      <c r="I505" s="2">
        <v>502.54</v>
      </c>
      <c r="J505" s="2">
        <v>5944929.9199999999</v>
      </c>
      <c r="K505" s="2">
        <v>4470595.84</v>
      </c>
    </row>
    <row r="506" spans="1:11" x14ac:dyDescent="0.3">
      <c r="A506" s="4" t="s">
        <v>507</v>
      </c>
      <c r="B506" s="4" t="s">
        <v>1176</v>
      </c>
      <c r="C506" s="4" t="s">
        <v>17</v>
      </c>
      <c r="D506" s="1">
        <v>44871</v>
      </c>
      <c r="E506" s="4">
        <v>296272361</v>
      </c>
      <c r="F506" s="1">
        <v>44876</v>
      </c>
      <c r="G506" s="3">
        <v>2430</v>
      </c>
      <c r="H506" s="2">
        <v>651.21</v>
      </c>
      <c r="I506" s="2">
        <v>524.96</v>
      </c>
      <c r="J506" s="2">
        <v>1582440.3</v>
      </c>
      <c r="K506" s="2">
        <v>1275652.8</v>
      </c>
    </row>
    <row r="507" spans="1:11" x14ac:dyDescent="0.3">
      <c r="A507" s="4" t="s">
        <v>508</v>
      </c>
      <c r="B507" s="4" t="s">
        <v>1168</v>
      </c>
      <c r="C507" s="4" t="s">
        <v>12</v>
      </c>
      <c r="D507" s="1">
        <v>44010</v>
      </c>
      <c r="E507" s="4">
        <v>788453423</v>
      </c>
      <c r="F507" s="1">
        <v>44047</v>
      </c>
      <c r="G507" s="3">
        <v>9744</v>
      </c>
      <c r="H507" s="2">
        <v>255.28</v>
      </c>
      <c r="I507" s="2">
        <v>159.41999999999999</v>
      </c>
      <c r="J507" s="2">
        <v>2487448.3199999998</v>
      </c>
      <c r="K507" s="2">
        <v>1553388.48</v>
      </c>
    </row>
    <row r="508" spans="1:11" x14ac:dyDescent="0.3">
      <c r="A508" s="4" t="s">
        <v>509</v>
      </c>
      <c r="B508" s="4" t="s">
        <v>1164</v>
      </c>
      <c r="C508" s="4" t="s">
        <v>19</v>
      </c>
      <c r="D508" s="1">
        <v>44230</v>
      </c>
      <c r="E508" s="4">
        <v>524733912</v>
      </c>
      <c r="F508" s="1">
        <v>44235</v>
      </c>
      <c r="G508" s="3">
        <v>9280</v>
      </c>
      <c r="H508" s="2">
        <v>205.7</v>
      </c>
      <c r="I508" s="2">
        <v>117.11</v>
      </c>
      <c r="J508" s="2">
        <v>1908896</v>
      </c>
      <c r="K508" s="2">
        <v>1086780.8</v>
      </c>
    </row>
    <row r="509" spans="1:11" x14ac:dyDescent="0.3">
      <c r="A509" s="4" t="s">
        <v>510</v>
      </c>
      <c r="B509" s="4" t="s">
        <v>1166</v>
      </c>
      <c r="C509" s="4" t="s">
        <v>19</v>
      </c>
      <c r="D509" s="1">
        <v>44852</v>
      </c>
      <c r="E509" s="4">
        <v>809850156</v>
      </c>
      <c r="F509" s="1">
        <v>44869</v>
      </c>
      <c r="G509" s="3">
        <v>1513</v>
      </c>
      <c r="H509" s="2">
        <v>9.33</v>
      </c>
      <c r="I509" s="2">
        <v>6.92</v>
      </c>
      <c r="J509" s="2">
        <v>14116.29</v>
      </c>
      <c r="K509" s="2">
        <v>10469.959999999999</v>
      </c>
    </row>
    <row r="510" spans="1:11" x14ac:dyDescent="0.3">
      <c r="A510" s="4" t="s">
        <v>511</v>
      </c>
      <c r="B510" s="4" t="s">
        <v>1160</v>
      </c>
      <c r="C510" s="4" t="s">
        <v>17</v>
      </c>
      <c r="D510" s="1">
        <v>44822</v>
      </c>
      <c r="E510" s="4">
        <v>318850982</v>
      </c>
      <c r="F510" s="1">
        <v>44840</v>
      </c>
      <c r="G510" s="3">
        <v>3946</v>
      </c>
      <c r="H510" s="2">
        <v>152.58000000000001</v>
      </c>
      <c r="I510" s="2">
        <v>97.44</v>
      </c>
      <c r="J510" s="2">
        <v>602080.68000000005</v>
      </c>
      <c r="K510" s="2">
        <v>384498.24</v>
      </c>
    </row>
    <row r="511" spans="1:11" x14ac:dyDescent="0.3">
      <c r="A511" s="4" t="s">
        <v>512</v>
      </c>
      <c r="B511" s="4" t="s">
        <v>1166</v>
      </c>
      <c r="C511" s="4" t="s">
        <v>14</v>
      </c>
      <c r="D511" s="1">
        <v>44278</v>
      </c>
      <c r="E511" s="4">
        <v>947097718</v>
      </c>
      <c r="F511" s="1">
        <v>44296</v>
      </c>
      <c r="G511" s="3">
        <v>6116</v>
      </c>
      <c r="H511" s="2">
        <v>9.33</v>
      </c>
      <c r="I511" s="2">
        <v>6.92</v>
      </c>
      <c r="J511" s="2">
        <v>57062.28</v>
      </c>
      <c r="K511" s="2">
        <v>42322.720000000001</v>
      </c>
    </row>
    <row r="512" spans="1:11" x14ac:dyDescent="0.3">
      <c r="A512" s="4" t="s">
        <v>513</v>
      </c>
      <c r="B512" s="4" t="s">
        <v>1170</v>
      </c>
      <c r="C512" s="4" t="s">
        <v>14</v>
      </c>
      <c r="D512" s="1">
        <v>44026</v>
      </c>
      <c r="E512" s="4">
        <v>160264194</v>
      </c>
      <c r="F512" s="1">
        <v>44040</v>
      </c>
      <c r="G512" s="3">
        <v>4591</v>
      </c>
      <c r="H512" s="2">
        <v>47.45</v>
      </c>
      <c r="I512" s="2">
        <v>31.79</v>
      </c>
      <c r="J512" s="2">
        <v>217842.95</v>
      </c>
      <c r="K512" s="2">
        <v>145947.88999999998</v>
      </c>
    </row>
    <row r="513" spans="1:11" x14ac:dyDescent="0.3">
      <c r="A513" s="4" t="s">
        <v>514</v>
      </c>
      <c r="B513" s="4" t="s">
        <v>1160</v>
      </c>
      <c r="C513" s="4" t="s">
        <v>12</v>
      </c>
      <c r="D513" s="1">
        <v>43974</v>
      </c>
      <c r="E513" s="4">
        <v>444336736</v>
      </c>
      <c r="F513" s="1">
        <v>43991</v>
      </c>
      <c r="G513" s="3">
        <v>7969</v>
      </c>
      <c r="H513" s="2">
        <v>152.58000000000001</v>
      </c>
      <c r="I513" s="2">
        <v>97.44</v>
      </c>
      <c r="J513" s="2">
        <v>1215910.02</v>
      </c>
      <c r="K513" s="2">
        <v>776499.36</v>
      </c>
    </row>
    <row r="514" spans="1:11" x14ac:dyDescent="0.3">
      <c r="A514" s="4" t="s">
        <v>515</v>
      </c>
      <c r="B514" s="4" t="s">
        <v>1178</v>
      </c>
      <c r="C514" s="4" t="s">
        <v>17</v>
      </c>
      <c r="D514" s="1">
        <v>44700</v>
      </c>
      <c r="E514" s="4">
        <v>755614173</v>
      </c>
      <c r="F514" s="1">
        <v>44726</v>
      </c>
      <c r="G514" s="3">
        <v>1880</v>
      </c>
      <c r="H514" s="2">
        <v>154.06</v>
      </c>
      <c r="I514" s="2">
        <v>90.93</v>
      </c>
      <c r="J514" s="2">
        <v>289632.8</v>
      </c>
      <c r="K514" s="2">
        <v>170948.40000000002</v>
      </c>
    </row>
    <row r="515" spans="1:11" x14ac:dyDescent="0.3">
      <c r="A515" s="4" t="s">
        <v>516</v>
      </c>
      <c r="B515" s="4" t="s">
        <v>1178</v>
      </c>
      <c r="C515" s="4" t="s">
        <v>19</v>
      </c>
      <c r="D515" s="1">
        <v>44840</v>
      </c>
      <c r="E515" s="4">
        <v>570707833</v>
      </c>
      <c r="F515" s="1">
        <v>44841</v>
      </c>
      <c r="G515" s="3">
        <v>3985</v>
      </c>
      <c r="H515" s="2">
        <v>154.06</v>
      </c>
      <c r="I515" s="2">
        <v>90.93</v>
      </c>
      <c r="J515" s="2">
        <v>613929.1</v>
      </c>
      <c r="K515" s="2">
        <v>362356.05000000005</v>
      </c>
    </row>
    <row r="516" spans="1:11" x14ac:dyDescent="0.3">
      <c r="A516" s="4" t="s">
        <v>517</v>
      </c>
      <c r="B516" s="4" t="s">
        <v>1170</v>
      </c>
      <c r="C516" s="4" t="s">
        <v>14</v>
      </c>
      <c r="D516" s="1">
        <v>44744</v>
      </c>
      <c r="E516" s="4">
        <v>336541545</v>
      </c>
      <c r="F516" s="1">
        <v>44791</v>
      </c>
      <c r="G516" s="3">
        <v>8977</v>
      </c>
      <c r="H516" s="2">
        <v>47.45</v>
      </c>
      <c r="I516" s="2">
        <v>31.79</v>
      </c>
      <c r="J516" s="2">
        <v>425958.65</v>
      </c>
      <c r="K516" s="2">
        <v>285378.83</v>
      </c>
    </row>
    <row r="517" spans="1:11" x14ac:dyDescent="0.3">
      <c r="A517" s="4" t="s">
        <v>518</v>
      </c>
      <c r="B517" s="4" t="s">
        <v>1160</v>
      </c>
      <c r="C517" s="4" t="s">
        <v>12</v>
      </c>
      <c r="D517" s="1">
        <v>43864</v>
      </c>
      <c r="E517" s="4">
        <v>120351636</v>
      </c>
      <c r="F517" s="1">
        <v>43887</v>
      </c>
      <c r="G517" s="3">
        <v>3578</v>
      </c>
      <c r="H517" s="2">
        <v>152.58000000000001</v>
      </c>
      <c r="I517" s="2">
        <v>97.44</v>
      </c>
      <c r="J517" s="2">
        <v>545931.24</v>
      </c>
      <c r="K517" s="2">
        <v>348640.32</v>
      </c>
    </row>
    <row r="518" spans="1:11" x14ac:dyDescent="0.3">
      <c r="A518" s="4" t="s">
        <v>519</v>
      </c>
      <c r="B518" s="4" t="s">
        <v>1164</v>
      </c>
      <c r="C518" s="4" t="s">
        <v>12</v>
      </c>
      <c r="D518" s="1">
        <v>44407</v>
      </c>
      <c r="E518" s="4">
        <v>959686934</v>
      </c>
      <c r="F518" s="1">
        <v>44441</v>
      </c>
      <c r="G518" s="3">
        <v>1545</v>
      </c>
      <c r="H518" s="2">
        <v>205.7</v>
      </c>
      <c r="I518" s="2">
        <v>117.11</v>
      </c>
      <c r="J518" s="2">
        <v>317806.5</v>
      </c>
      <c r="K518" s="2">
        <v>180934.95</v>
      </c>
    </row>
    <row r="519" spans="1:11" x14ac:dyDescent="0.3">
      <c r="A519" s="4" t="s">
        <v>520</v>
      </c>
      <c r="B519" s="4" t="s">
        <v>1166</v>
      </c>
      <c r="C519" s="4" t="s">
        <v>17</v>
      </c>
      <c r="D519" s="1">
        <v>44555</v>
      </c>
      <c r="E519" s="4">
        <v>812408769</v>
      </c>
      <c r="F519" s="1">
        <v>44600</v>
      </c>
      <c r="G519" s="3">
        <v>8663</v>
      </c>
      <c r="H519" s="2">
        <v>9.33</v>
      </c>
      <c r="I519" s="2">
        <v>6.92</v>
      </c>
      <c r="J519" s="2">
        <v>80825.789999999994</v>
      </c>
      <c r="K519" s="2">
        <v>59947.96</v>
      </c>
    </row>
    <row r="520" spans="1:11" x14ac:dyDescent="0.3">
      <c r="A520" s="4" t="s">
        <v>521</v>
      </c>
      <c r="B520" s="4" t="s">
        <v>1166</v>
      </c>
      <c r="C520" s="4" t="s">
        <v>19</v>
      </c>
      <c r="D520" s="1">
        <v>44199</v>
      </c>
      <c r="E520" s="4">
        <v>406690967</v>
      </c>
      <c r="F520" s="1">
        <v>44207</v>
      </c>
      <c r="G520" s="3">
        <v>7749</v>
      </c>
      <c r="H520" s="2">
        <v>9.33</v>
      </c>
      <c r="I520" s="2">
        <v>6.92</v>
      </c>
      <c r="J520" s="2">
        <v>72298.17</v>
      </c>
      <c r="K520" s="2">
        <v>53623.08</v>
      </c>
    </row>
    <row r="521" spans="1:11" x14ac:dyDescent="0.3">
      <c r="A521" s="4" t="s">
        <v>522</v>
      </c>
      <c r="B521" s="4" t="s">
        <v>1178</v>
      </c>
      <c r="C521" s="4" t="s">
        <v>19</v>
      </c>
      <c r="D521" s="1">
        <v>44422</v>
      </c>
      <c r="E521" s="4">
        <v>991019856</v>
      </c>
      <c r="F521" s="1">
        <v>44464</v>
      </c>
      <c r="G521" s="3">
        <v>3653</v>
      </c>
      <c r="H521" s="2">
        <v>154.06</v>
      </c>
      <c r="I521" s="2">
        <v>90.93</v>
      </c>
      <c r="J521" s="2">
        <v>562781.18000000005</v>
      </c>
      <c r="K521" s="2">
        <v>332167.29000000004</v>
      </c>
    </row>
    <row r="522" spans="1:11" x14ac:dyDescent="0.3">
      <c r="A522" s="4" t="s">
        <v>523</v>
      </c>
      <c r="B522" s="4" t="s">
        <v>1178</v>
      </c>
      <c r="C522" s="4" t="s">
        <v>14</v>
      </c>
      <c r="D522" s="1">
        <v>43845</v>
      </c>
      <c r="E522" s="4">
        <v>284194266</v>
      </c>
      <c r="F522" s="1">
        <v>43846</v>
      </c>
      <c r="G522" s="3">
        <v>8254</v>
      </c>
      <c r="H522" s="2">
        <v>154.06</v>
      </c>
      <c r="I522" s="2">
        <v>90.93</v>
      </c>
      <c r="J522" s="2">
        <v>1271611.24</v>
      </c>
      <c r="K522" s="2">
        <v>750536.22000000009</v>
      </c>
    </row>
    <row r="523" spans="1:11" x14ac:dyDescent="0.3">
      <c r="A523" s="4" t="s">
        <v>524</v>
      </c>
      <c r="B523" s="4" t="s">
        <v>1176</v>
      </c>
      <c r="C523" s="4" t="s">
        <v>14</v>
      </c>
      <c r="D523" s="1">
        <v>44367</v>
      </c>
      <c r="E523" s="4">
        <v>125325524</v>
      </c>
      <c r="F523" s="1">
        <v>44371</v>
      </c>
      <c r="G523" s="3">
        <v>5463</v>
      </c>
      <c r="H523" s="2">
        <v>651.21</v>
      </c>
      <c r="I523" s="2">
        <v>524.96</v>
      </c>
      <c r="J523" s="2">
        <v>3557560.23</v>
      </c>
      <c r="K523" s="2">
        <v>2867856.48</v>
      </c>
    </row>
    <row r="524" spans="1:11" x14ac:dyDescent="0.3">
      <c r="A524" s="4" t="s">
        <v>525</v>
      </c>
      <c r="B524" s="4" t="s">
        <v>1172</v>
      </c>
      <c r="C524" s="4" t="s">
        <v>17</v>
      </c>
      <c r="D524" s="1">
        <v>44379</v>
      </c>
      <c r="E524" s="4">
        <v>623837459</v>
      </c>
      <c r="F524" s="1">
        <v>44387</v>
      </c>
      <c r="G524" s="3">
        <v>6222</v>
      </c>
      <c r="H524" s="2">
        <v>437.2</v>
      </c>
      <c r="I524" s="2">
        <v>263.33</v>
      </c>
      <c r="J524" s="2">
        <v>2720258.4</v>
      </c>
      <c r="K524" s="2">
        <v>1638439.26</v>
      </c>
    </row>
    <row r="525" spans="1:11" x14ac:dyDescent="0.3">
      <c r="A525" s="4" t="s">
        <v>526</v>
      </c>
      <c r="B525" s="4" t="s">
        <v>1182</v>
      </c>
      <c r="C525" s="4" t="s">
        <v>19</v>
      </c>
      <c r="D525" s="1">
        <v>44508</v>
      </c>
      <c r="E525" s="4">
        <v>609466397</v>
      </c>
      <c r="F525" s="1">
        <v>44540</v>
      </c>
      <c r="G525" s="3">
        <v>3506</v>
      </c>
      <c r="H525" s="2">
        <v>668.27</v>
      </c>
      <c r="I525" s="2">
        <v>502.54</v>
      </c>
      <c r="J525" s="2">
        <v>2342954.62</v>
      </c>
      <c r="K525" s="2">
        <v>1761905.24</v>
      </c>
    </row>
    <row r="526" spans="1:11" x14ac:dyDescent="0.3">
      <c r="A526" s="4" t="s">
        <v>527</v>
      </c>
      <c r="B526" s="4" t="s">
        <v>1166</v>
      </c>
      <c r="C526" s="4" t="s">
        <v>17</v>
      </c>
      <c r="D526" s="1">
        <v>43961</v>
      </c>
      <c r="E526" s="4">
        <v>782261168</v>
      </c>
      <c r="F526" s="1">
        <v>43997</v>
      </c>
      <c r="G526" s="3">
        <v>7318</v>
      </c>
      <c r="H526" s="2">
        <v>9.33</v>
      </c>
      <c r="I526" s="2">
        <v>6.92</v>
      </c>
      <c r="J526" s="2">
        <v>68276.94</v>
      </c>
      <c r="K526" s="2">
        <v>50640.56</v>
      </c>
    </row>
    <row r="527" spans="1:11" x14ac:dyDescent="0.3">
      <c r="A527" s="4" t="s">
        <v>528</v>
      </c>
      <c r="B527" s="4" t="s">
        <v>1170</v>
      </c>
      <c r="C527" s="4" t="s">
        <v>19</v>
      </c>
      <c r="D527" s="1">
        <v>44180</v>
      </c>
      <c r="E527" s="4">
        <v>562583100</v>
      </c>
      <c r="F527" s="1">
        <v>44220</v>
      </c>
      <c r="G527" s="3">
        <v>9696</v>
      </c>
      <c r="H527" s="2">
        <v>47.45</v>
      </c>
      <c r="I527" s="2">
        <v>31.79</v>
      </c>
      <c r="J527" s="2">
        <v>460075.2</v>
      </c>
      <c r="K527" s="2">
        <v>308235.83999999997</v>
      </c>
    </row>
    <row r="528" spans="1:11" x14ac:dyDescent="0.3">
      <c r="A528" s="4" t="s">
        <v>529</v>
      </c>
      <c r="B528" s="4" t="s">
        <v>1160</v>
      </c>
      <c r="C528" s="4" t="s">
        <v>14</v>
      </c>
      <c r="D528" s="1">
        <v>44144</v>
      </c>
      <c r="E528" s="4">
        <v>341106021</v>
      </c>
      <c r="F528" s="1">
        <v>44147</v>
      </c>
      <c r="G528" s="3">
        <v>9707</v>
      </c>
      <c r="H528" s="2">
        <v>152.58000000000001</v>
      </c>
      <c r="I528" s="2">
        <v>97.44</v>
      </c>
      <c r="J528" s="2">
        <v>1481094.06</v>
      </c>
      <c r="K528" s="2">
        <v>945850.08</v>
      </c>
    </row>
    <row r="529" spans="1:11" x14ac:dyDescent="0.3">
      <c r="A529" s="4" t="s">
        <v>530</v>
      </c>
      <c r="B529" s="4" t="s">
        <v>1170</v>
      </c>
      <c r="C529" s="4" t="s">
        <v>14</v>
      </c>
      <c r="D529" s="1">
        <v>44023</v>
      </c>
      <c r="E529" s="4">
        <v>128816258</v>
      </c>
      <c r="F529" s="1">
        <v>44024</v>
      </c>
      <c r="G529" s="3">
        <v>8448</v>
      </c>
      <c r="H529" s="2">
        <v>47.45</v>
      </c>
      <c r="I529" s="2">
        <v>31.79</v>
      </c>
      <c r="J529" s="2">
        <v>400857.60000000003</v>
      </c>
      <c r="K529" s="2">
        <v>268561.91999999998</v>
      </c>
    </row>
    <row r="530" spans="1:11" x14ac:dyDescent="0.3">
      <c r="A530" s="4" t="s">
        <v>531</v>
      </c>
      <c r="B530" s="4" t="s">
        <v>1164</v>
      </c>
      <c r="C530" s="4" t="s">
        <v>19</v>
      </c>
      <c r="D530" s="1">
        <v>44655</v>
      </c>
      <c r="E530" s="4">
        <v>907012641</v>
      </c>
      <c r="F530" s="1">
        <v>44700</v>
      </c>
      <c r="G530" s="3">
        <v>4051</v>
      </c>
      <c r="H530" s="2">
        <v>205.7</v>
      </c>
      <c r="I530" s="2">
        <v>117.11</v>
      </c>
      <c r="J530" s="2">
        <v>833290.7</v>
      </c>
      <c r="K530" s="2">
        <v>474412.61</v>
      </c>
    </row>
    <row r="531" spans="1:11" x14ac:dyDescent="0.3">
      <c r="A531" s="4" t="s">
        <v>532</v>
      </c>
      <c r="B531" s="4" t="s">
        <v>1168</v>
      </c>
      <c r="C531" s="4" t="s">
        <v>12</v>
      </c>
      <c r="D531" s="1">
        <v>43895</v>
      </c>
      <c r="E531" s="4">
        <v>577306497</v>
      </c>
      <c r="F531" s="1">
        <v>43902</v>
      </c>
      <c r="G531" s="3">
        <v>6676</v>
      </c>
      <c r="H531" s="2">
        <v>255.28</v>
      </c>
      <c r="I531" s="2">
        <v>159.41999999999999</v>
      </c>
      <c r="J531" s="2">
        <v>1704249.28</v>
      </c>
      <c r="K531" s="2">
        <v>1064287.92</v>
      </c>
    </row>
    <row r="532" spans="1:11" x14ac:dyDescent="0.3">
      <c r="A532" s="4" t="s">
        <v>195</v>
      </c>
      <c r="B532" s="4" t="s">
        <v>1182</v>
      </c>
      <c r="C532" s="4" t="s">
        <v>12</v>
      </c>
      <c r="D532" s="1">
        <v>44439</v>
      </c>
      <c r="E532" s="4">
        <v>711621654</v>
      </c>
      <c r="F532" s="1">
        <v>44441</v>
      </c>
      <c r="G532" s="3">
        <v>3516</v>
      </c>
      <c r="H532" s="2">
        <v>668.27</v>
      </c>
      <c r="I532" s="2">
        <v>502.54</v>
      </c>
      <c r="J532" s="2">
        <v>2349637.3199999998</v>
      </c>
      <c r="K532" s="2">
        <v>1766930.6400000001</v>
      </c>
    </row>
    <row r="533" spans="1:11" x14ac:dyDescent="0.3">
      <c r="A533" s="4" t="s">
        <v>533</v>
      </c>
      <c r="B533" s="4" t="s">
        <v>1176</v>
      </c>
      <c r="C533" s="4" t="s">
        <v>19</v>
      </c>
      <c r="D533" s="1">
        <v>43913</v>
      </c>
      <c r="E533" s="4">
        <v>702194440</v>
      </c>
      <c r="F533" s="1">
        <v>43920</v>
      </c>
      <c r="G533" s="3">
        <v>3794</v>
      </c>
      <c r="H533" s="2">
        <v>651.21</v>
      </c>
      <c r="I533" s="2">
        <v>524.96</v>
      </c>
      <c r="J533" s="2">
        <v>2470690.7400000002</v>
      </c>
      <c r="K533" s="2">
        <v>1991698.2400000002</v>
      </c>
    </row>
    <row r="534" spans="1:11" x14ac:dyDescent="0.3">
      <c r="A534" s="4" t="s">
        <v>534</v>
      </c>
      <c r="B534" s="4" t="s">
        <v>1164</v>
      </c>
      <c r="C534" s="4" t="s">
        <v>17</v>
      </c>
      <c r="D534" s="1">
        <v>44787</v>
      </c>
      <c r="E534" s="4">
        <v>911573684</v>
      </c>
      <c r="F534" s="1">
        <v>44823</v>
      </c>
      <c r="G534" s="3">
        <v>3765</v>
      </c>
      <c r="H534" s="2">
        <v>205.7</v>
      </c>
      <c r="I534" s="2">
        <v>117.11</v>
      </c>
      <c r="J534" s="2">
        <v>774460.5</v>
      </c>
      <c r="K534" s="2">
        <v>440919.15</v>
      </c>
    </row>
    <row r="535" spans="1:11" x14ac:dyDescent="0.3">
      <c r="A535" s="4" t="s">
        <v>535</v>
      </c>
      <c r="B535" s="4" t="s">
        <v>1170</v>
      </c>
      <c r="C535" s="4" t="s">
        <v>17</v>
      </c>
      <c r="D535" s="1">
        <v>44458</v>
      </c>
      <c r="E535" s="4">
        <v>422620713</v>
      </c>
      <c r="F535" s="1">
        <v>44474</v>
      </c>
      <c r="G535" s="3">
        <v>1715</v>
      </c>
      <c r="H535" s="2">
        <v>47.45</v>
      </c>
      <c r="I535" s="2">
        <v>31.79</v>
      </c>
      <c r="J535" s="2">
        <v>81376.75</v>
      </c>
      <c r="K535" s="2">
        <v>54519.85</v>
      </c>
    </row>
    <row r="536" spans="1:11" x14ac:dyDescent="0.3">
      <c r="A536" s="4" t="s">
        <v>536</v>
      </c>
      <c r="B536" s="4" t="s">
        <v>1182</v>
      </c>
      <c r="C536" s="4" t="s">
        <v>12</v>
      </c>
      <c r="D536" s="1">
        <v>44122</v>
      </c>
      <c r="E536" s="4">
        <v>188509356</v>
      </c>
      <c r="F536" s="1">
        <v>44135</v>
      </c>
      <c r="G536" s="3">
        <v>2963</v>
      </c>
      <c r="H536" s="2">
        <v>668.27</v>
      </c>
      <c r="I536" s="2">
        <v>502.54</v>
      </c>
      <c r="J536" s="2">
        <v>1980084.01</v>
      </c>
      <c r="K536" s="2">
        <v>1489026.02</v>
      </c>
    </row>
    <row r="537" spans="1:11" x14ac:dyDescent="0.3">
      <c r="A537" s="4" t="s">
        <v>420</v>
      </c>
      <c r="B537" s="4" t="s">
        <v>1178</v>
      </c>
      <c r="C537" s="4" t="s">
        <v>19</v>
      </c>
      <c r="D537" s="1">
        <v>44081</v>
      </c>
      <c r="E537" s="4">
        <v>782725942</v>
      </c>
      <c r="F537" s="1">
        <v>44089</v>
      </c>
      <c r="G537" s="3">
        <v>4855</v>
      </c>
      <c r="H537" s="2">
        <v>154.06</v>
      </c>
      <c r="I537" s="2">
        <v>90.93</v>
      </c>
      <c r="J537" s="2">
        <v>747961.3</v>
      </c>
      <c r="K537" s="2">
        <v>441465.15</v>
      </c>
    </row>
    <row r="538" spans="1:11" x14ac:dyDescent="0.3">
      <c r="A538" s="4" t="s">
        <v>537</v>
      </c>
      <c r="B538" s="4" t="s">
        <v>1176</v>
      </c>
      <c r="C538" s="4" t="s">
        <v>12</v>
      </c>
      <c r="D538" s="1">
        <v>44259</v>
      </c>
      <c r="E538" s="4">
        <v>149069297</v>
      </c>
      <c r="F538" s="1">
        <v>44277</v>
      </c>
      <c r="G538" s="3">
        <v>1772</v>
      </c>
      <c r="H538" s="2">
        <v>651.21</v>
      </c>
      <c r="I538" s="2">
        <v>524.96</v>
      </c>
      <c r="J538" s="2">
        <v>1153944.1200000001</v>
      </c>
      <c r="K538" s="2">
        <v>930229.12000000011</v>
      </c>
    </row>
    <row r="539" spans="1:11" x14ac:dyDescent="0.3">
      <c r="A539" s="4" t="s">
        <v>538</v>
      </c>
      <c r="B539" s="4" t="s">
        <v>1170</v>
      </c>
      <c r="C539" s="4" t="s">
        <v>19</v>
      </c>
      <c r="D539" s="1">
        <v>44728</v>
      </c>
      <c r="E539" s="4">
        <v>351650750</v>
      </c>
      <c r="F539" s="1">
        <v>44751</v>
      </c>
      <c r="G539" s="3">
        <v>126</v>
      </c>
      <c r="H539" s="2">
        <v>47.45</v>
      </c>
      <c r="I539" s="2">
        <v>31.79</v>
      </c>
      <c r="J539" s="2">
        <v>5978.7000000000007</v>
      </c>
      <c r="K539" s="2">
        <v>4005.54</v>
      </c>
    </row>
    <row r="540" spans="1:11" x14ac:dyDescent="0.3">
      <c r="A540" s="4" t="s">
        <v>539</v>
      </c>
      <c r="B540" s="4" t="s">
        <v>1164</v>
      </c>
      <c r="C540" s="4" t="s">
        <v>19</v>
      </c>
      <c r="D540" s="1">
        <v>44141</v>
      </c>
      <c r="E540" s="4">
        <v>824894130</v>
      </c>
      <c r="F540" s="1">
        <v>44185</v>
      </c>
      <c r="G540" s="3">
        <v>3359</v>
      </c>
      <c r="H540" s="2">
        <v>205.7</v>
      </c>
      <c r="I540" s="2">
        <v>117.11</v>
      </c>
      <c r="J540" s="2">
        <v>690946.29999999993</v>
      </c>
      <c r="K540" s="2">
        <v>393372.49</v>
      </c>
    </row>
    <row r="541" spans="1:11" x14ac:dyDescent="0.3">
      <c r="A541" s="4" t="s">
        <v>540</v>
      </c>
      <c r="B541" s="4" t="s">
        <v>1170</v>
      </c>
      <c r="C541" s="4" t="s">
        <v>14</v>
      </c>
      <c r="D541" s="1">
        <v>44429</v>
      </c>
      <c r="E541" s="4">
        <v>623535764</v>
      </c>
      <c r="F541" s="1">
        <v>44440</v>
      </c>
      <c r="G541" s="3">
        <v>6944</v>
      </c>
      <c r="H541" s="2">
        <v>47.45</v>
      </c>
      <c r="I541" s="2">
        <v>31.79</v>
      </c>
      <c r="J541" s="2">
        <v>329492.80000000005</v>
      </c>
      <c r="K541" s="2">
        <v>220749.75999999998</v>
      </c>
    </row>
    <row r="542" spans="1:11" x14ac:dyDescent="0.3">
      <c r="A542" s="4" t="s">
        <v>541</v>
      </c>
      <c r="B542" s="4" t="s">
        <v>1178</v>
      </c>
      <c r="C542" s="4" t="s">
        <v>19</v>
      </c>
      <c r="D542" s="1">
        <v>44017</v>
      </c>
      <c r="E542" s="4">
        <v>672624480</v>
      </c>
      <c r="F542" s="1">
        <v>44065</v>
      </c>
      <c r="G542" s="3">
        <v>3386</v>
      </c>
      <c r="H542" s="2">
        <v>154.06</v>
      </c>
      <c r="I542" s="2">
        <v>90.93</v>
      </c>
      <c r="J542" s="2">
        <v>521647.16000000003</v>
      </c>
      <c r="K542" s="2">
        <v>307888.98000000004</v>
      </c>
    </row>
    <row r="543" spans="1:11" x14ac:dyDescent="0.3">
      <c r="A543" s="4" t="s">
        <v>542</v>
      </c>
      <c r="B543" s="4" t="s">
        <v>1172</v>
      </c>
      <c r="C543" s="4" t="s">
        <v>19</v>
      </c>
      <c r="D543" s="1">
        <v>44607</v>
      </c>
      <c r="E543" s="4">
        <v>617521607</v>
      </c>
      <c r="F543" s="1">
        <v>44644</v>
      </c>
      <c r="G543" s="3">
        <v>7221</v>
      </c>
      <c r="H543" s="2">
        <v>437.2</v>
      </c>
      <c r="I543" s="2">
        <v>263.33</v>
      </c>
      <c r="J543" s="2">
        <v>3157021.1999999997</v>
      </c>
      <c r="K543" s="2">
        <v>1901505.93</v>
      </c>
    </row>
    <row r="544" spans="1:11" x14ac:dyDescent="0.3">
      <c r="A544" s="4" t="s">
        <v>543</v>
      </c>
      <c r="B544" s="4" t="s">
        <v>1166</v>
      </c>
      <c r="C544" s="4" t="s">
        <v>12</v>
      </c>
      <c r="D544" s="1">
        <v>44396</v>
      </c>
      <c r="E544" s="4">
        <v>173900973</v>
      </c>
      <c r="F544" s="1">
        <v>44396</v>
      </c>
      <c r="G544" s="3">
        <v>17</v>
      </c>
      <c r="H544" s="2">
        <v>9.33</v>
      </c>
      <c r="I544" s="2">
        <v>6.92</v>
      </c>
      <c r="J544" s="2">
        <v>158.61000000000001</v>
      </c>
      <c r="K544" s="2">
        <v>117.64</v>
      </c>
    </row>
    <row r="545" spans="1:11" x14ac:dyDescent="0.3">
      <c r="A545" s="4" t="s">
        <v>544</v>
      </c>
      <c r="B545" s="4" t="s">
        <v>1178</v>
      </c>
      <c r="C545" s="4" t="s">
        <v>17</v>
      </c>
      <c r="D545" s="1">
        <v>44858</v>
      </c>
      <c r="E545" s="4">
        <v>477748906</v>
      </c>
      <c r="F545" s="1">
        <v>44883</v>
      </c>
      <c r="G545" s="3">
        <v>5373</v>
      </c>
      <c r="H545" s="2">
        <v>154.06</v>
      </c>
      <c r="I545" s="2">
        <v>90.93</v>
      </c>
      <c r="J545" s="2">
        <v>827764.38</v>
      </c>
      <c r="K545" s="2">
        <v>488566.89</v>
      </c>
    </row>
    <row r="546" spans="1:11" x14ac:dyDescent="0.3">
      <c r="A546" s="4" t="s">
        <v>545</v>
      </c>
      <c r="B546" s="4" t="s">
        <v>1168</v>
      </c>
      <c r="C546" s="4" t="s">
        <v>19</v>
      </c>
      <c r="D546" s="1">
        <v>43962</v>
      </c>
      <c r="E546" s="4">
        <v>935364234</v>
      </c>
      <c r="F546" s="1">
        <v>43996</v>
      </c>
      <c r="G546" s="3">
        <v>3918</v>
      </c>
      <c r="H546" s="2">
        <v>255.28</v>
      </c>
      <c r="I546" s="2">
        <v>159.41999999999999</v>
      </c>
      <c r="J546" s="2">
        <v>1000187.04</v>
      </c>
      <c r="K546" s="2">
        <v>624607.55999999994</v>
      </c>
    </row>
    <row r="547" spans="1:11" x14ac:dyDescent="0.3">
      <c r="A547" s="4" t="s">
        <v>546</v>
      </c>
      <c r="B547" s="4" t="s">
        <v>1160</v>
      </c>
      <c r="C547" s="4" t="s">
        <v>12</v>
      </c>
      <c r="D547" s="1">
        <v>43997</v>
      </c>
      <c r="E547" s="4">
        <v>573358285</v>
      </c>
      <c r="F547" s="1">
        <v>44011</v>
      </c>
      <c r="G547" s="3">
        <v>8313</v>
      </c>
      <c r="H547" s="2">
        <v>152.58000000000001</v>
      </c>
      <c r="I547" s="2">
        <v>97.44</v>
      </c>
      <c r="J547" s="2">
        <v>1268397.54</v>
      </c>
      <c r="K547" s="2">
        <v>810018.72</v>
      </c>
    </row>
    <row r="548" spans="1:11" x14ac:dyDescent="0.3">
      <c r="A548" s="4" t="s">
        <v>413</v>
      </c>
      <c r="B548" s="4" t="s">
        <v>1178</v>
      </c>
      <c r="C548" s="4" t="s">
        <v>14</v>
      </c>
      <c r="D548" s="1">
        <v>44790</v>
      </c>
      <c r="E548" s="4">
        <v>288654887</v>
      </c>
      <c r="F548" s="1">
        <v>44833</v>
      </c>
      <c r="G548" s="3">
        <v>8251</v>
      </c>
      <c r="H548" s="2">
        <v>154.06</v>
      </c>
      <c r="I548" s="2">
        <v>90.93</v>
      </c>
      <c r="J548" s="2">
        <v>1271149.06</v>
      </c>
      <c r="K548" s="2">
        <v>750263.43</v>
      </c>
    </row>
    <row r="549" spans="1:11" x14ac:dyDescent="0.3">
      <c r="A549" s="4" t="s">
        <v>547</v>
      </c>
      <c r="B549" s="4" t="s">
        <v>1160</v>
      </c>
      <c r="C549" s="4" t="s">
        <v>17</v>
      </c>
      <c r="D549" s="1">
        <v>44228</v>
      </c>
      <c r="E549" s="4">
        <v>598490369</v>
      </c>
      <c r="F549" s="1">
        <v>44234</v>
      </c>
      <c r="G549" s="3">
        <v>5455</v>
      </c>
      <c r="H549" s="2">
        <v>152.58000000000001</v>
      </c>
      <c r="I549" s="2">
        <v>97.44</v>
      </c>
      <c r="J549" s="2">
        <v>832323.9</v>
      </c>
      <c r="K549" s="2">
        <v>531535.19999999995</v>
      </c>
    </row>
    <row r="550" spans="1:11" x14ac:dyDescent="0.3">
      <c r="A550" s="4" t="s">
        <v>548</v>
      </c>
      <c r="B550" s="4" t="s">
        <v>1180</v>
      </c>
      <c r="C550" s="4" t="s">
        <v>12</v>
      </c>
      <c r="D550" s="1">
        <v>43997</v>
      </c>
      <c r="E550" s="4">
        <v>290413558</v>
      </c>
      <c r="F550" s="1">
        <v>44031</v>
      </c>
      <c r="G550" s="3">
        <v>8680</v>
      </c>
      <c r="H550" s="2">
        <v>109.28</v>
      </c>
      <c r="I550" s="2">
        <v>35.840000000000003</v>
      </c>
      <c r="J550" s="2">
        <v>948550.4</v>
      </c>
      <c r="K550" s="2">
        <v>311091.20000000001</v>
      </c>
    </row>
    <row r="551" spans="1:11" x14ac:dyDescent="0.3">
      <c r="A551" s="4" t="s">
        <v>549</v>
      </c>
      <c r="B551" s="4" t="s">
        <v>1172</v>
      </c>
      <c r="C551" s="4" t="s">
        <v>19</v>
      </c>
      <c r="D551" s="1">
        <v>43843</v>
      </c>
      <c r="E551" s="4">
        <v>472285783</v>
      </c>
      <c r="F551" s="1">
        <v>43857</v>
      </c>
      <c r="G551" s="3">
        <v>8713</v>
      </c>
      <c r="H551" s="2">
        <v>437.2</v>
      </c>
      <c r="I551" s="2">
        <v>263.33</v>
      </c>
      <c r="J551" s="2">
        <v>3809323.6</v>
      </c>
      <c r="K551" s="2">
        <v>2294394.29</v>
      </c>
    </row>
    <row r="552" spans="1:11" x14ac:dyDescent="0.3">
      <c r="A552" s="4" t="s">
        <v>550</v>
      </c>
      <c r="B552" s="4" t="s">
        <v>1162</v>
      </c>
      <c r="C552" s="4" t="s">
        <v>19</v>
      </c>
      <c r="D552" s="1">
        <v>44181</v>
      </c>
      <c r="E552" s="4">
        <v>522280871</v>
      </c>
      <c r="F552" s="1">
        <v>44208</v>
      </c>
      <c r="G552" s="3">
        <v>3371</v>
      </c>
      <c r="H552" s="2">
        <v>421.89</v>
      </c>
      <c r="I552" s="2">
        <v>364.69</v>
      </c>
      <c r="J552" s="2">
        <v>1422191.19</v>
      </c>
      <c r="K552" s="2">
        <v>1229369.99</v>
      </c>
    </row>
    <row r="553" spans="1:11" x14ac:dyDescent="0.3">
      <c r="A553" s="4" t="s">
        <v>551</v>
      </c>
      <c r="B553" s="4" t="s">
        <v>1182</v>
      </c>
      <c r="C553" s="4" t="s">
        <v>17</v>
      </c>
      <c r="D553" s="1">
        <v>44527</v>
      </c>
      <c r="E553" s="4">
        <v>338885152</v>
      </c>
      <c r="F553" s="1">
        <v>44541</v>
      </c>
      <c r="G553" s="3">
        <v>2502</v>
      </c>
      <c r="H553" s="2">
        <v>668.27</v>
      </c>
      <c r="I553" s="2">
        <v>502.54</v>
      </c>
      <c r="J553" s="2">
        <v>1672011.54</v>
      </c>
      <c r="K553" s="2">
        <v>1257355.08</v>
      </c>
    </row>
    <row r="554" spans="1:11" x14ac:dyDescent="0.3">
      <c r="A554" s="4" t="s">
        <v>552</v>
      </c>
      <c r="B554" s="4" t="s">
        <v>1182</v>
      </c>
      <c r="C554" s="4" t="s">
        <v>17</v>
      </c>
      <c r="D554" s="1">
        <v>44024</v>
      </c>
      <c r="E554" s="4">
        <v>790897452</v>
      </c>
      <c r="F554" s="1">
        <v>44029</v>
      </c>
      <c r="G554" s="3">
        <v>2986</v>
      </c>
      <c r="H554" s="2">
        <v>668.27</v>
      </c>
      <c r="I554" s="2">
        <v>502.54</v>
      </c>
      <c r="J554" s="2">
        <v>1995454.22</v>
      </c>
      <c r="K554" s="2">
        <v>1500584.4400000002</v>
      </c>
    </row>
    <row r="555" spans="1:11" x14ac:dyDescent="0.3">
      <c r="A555" s="4" t="s">
        <v>553</v>
      </c>
      <c r="B555" s="4" t="s">
        <v>1162</v>
      </c>
      <c r="C555" s="4" t="s">
        <v>14</v>
      </c>
      <c r="D555" s="1">
        <v>44049</v>
      </c>
      <c r="E555" s="4">
        <v>567429101</v>
      </c>
      <c r="F555" s="1">
        <v>44093</v>
      </c>
      <c r="G555" s="3">
        <v>3735</v>
      </c>
      <c r="H555" s="2">
        <v>421.89</v>
      </c>
      <c r="I555" s="2">
        <v>364.69</v>
      </c>
      <c r="J555" s="2">
        <v>1575759.15</v>
      </c>
      <c r="K555" s="2">
        <v>1362117.15</v>
      </c>
    </row>
    <row r="556" spans="1:11" x14ac:dyDescent="0.3">
      <c r="A556" s="4" t="s">
        <v>554</v>
      </c>
      <c r="B556" s="4" t="s">
        <v>1168</v>
      </c>
      <c r="C556" s="4" t="s">
        <v>19</v>
      </c>
      <c r="D556" s="1">
        <v>44559</v>
      </c>
      <c r="E556" s="4">
        <v>227903926</v>
      </c>
      <c r="F556" s="1">
        <v>44571</v>
      </c>
      <c r="G556" s="3">
        <v>691</v>
      </c>
      <c r="H556" s="2">
        <v>255.28</v>
      </c>
      <c r="I556" s="2">
        <v>159.41999999999999</v>
      </c>
      <c r="J556" s="2">
        <v>176398.48</v>
      </c>
      <c r="K556" s="2">
        <v>110159.21999999999</v>
      </c>
    </row>
    <row r="557" spans="1:11" x14ac:dyDescent="0.3">
      <c r="A557" s="4" t="s">
        <v>555</v>
      </c>
      <c r="B557" s="4" t="s">
        <v>1170</v>
      </c>
      <c r="C557" s="4" t="s">
        <v>19</v>
      </c>
      <c r="D557" s="1">
        <v>44615</v>
      </c>
      <c r="E557" s="4">
        <v>852058255</v>
      </c>
      <c r="F557" s="1">
        <v>44620</v>
      </c>
      <c r="G557" s="3">
        <v>1827</v>
      </c>
      <c r="H557" s="2">
        <v>47.45</v>
      </c>
      <c r="I557" s="2">
        <v>31.79</v>
      </c>
      <c r="J557" s="2">
        <v>86691.150000000009</v>
      </c>
      <c r="K557" s="2">
        <v>58080.33</v>
      </c>
    </row>
    <row r="558" spans="1:11" x14ac:dyDescent="0.3">
      <c r="A558" s="4" t="s">
        <v>556</v>
      </c>
      <c r="B558" s="4" t="s">
        <v>1164</v>
      </c>
      <c r="C558" s="4" t="s">
        <v>12</v>
      </c>
      <c r="D558" s="1">
        <v>43946</v>
      </c>
      <c r="E558" s="4">
        <v>889940917</v>
      </c>
      <c r="F558" s="1">
        <v>43951</v>
      </c>
      <c r="G558" s="3">
        <v>2149</v>
      </c>
      <c r="H558" s="2">
        <v>205.7</v>
      </c>
      <c r="I558" s="2">
        <v>117.11</v>
      </c>
      <c r="J558" s="2">
        <v>442049.3</v>
      </c>
      <c r="K558" s="2">
        <v>251669.38999999998</v>
      </c>
    </row>
    <row r="559" spans="1:11" x14ac:dyDescent="0.3">
      <c r="A559" s="4" t="s">
        <v>557</v>
      </c>
      <c r="B559" s="4" t="s">
        <v>1170</v>
      </c>
      <c r="C559" s="4" t="s">
        <v>19</v>
      </c>
      <c r="D559" s="1">
        <v>44516</v>
      </c>
      <c r="E559" s="4">
        <v>211913239</v>
      </c>
      <c r="F559" s="1">
        <v>44527</v>
      </c>
      <c r="G559" s="3">
        <v>8692</v>
      </c>
      <c r="H559" s="2">
        <v>47.45</v>
      </c>
      <c r="I559" s="2">
        <v>31.79</v>
      </c>
      <c r="J559" s="2">
        <v>412435.4</v>
      </c>
      <c r="K559" s="2">
        <v>276318.68</v>
      </c>
    </row>
    <row r="560" spans="1:11" x14ac:dyDescent="0.3">
      <c r="A560" s="4" t="s">
        <v>558</v>
      </c>
      <c r="B560" s="4" t="s">
        <v>1164</v>
      </c>
      <c r="C560" s="4" t="s">
        <v>12</v>
      </c>
      <c r="D560" s="1">
        <v>44783</v>
      </c>
      <c r="E560" s="4">
        <v>558649051</v>
      </c>
      <c r="F560" s="1">
        <v>44788</v>
      </c>
      <c r="G560" s="3">
        <v>5523</v>
      </c>
      <c r="H560" s="2">
        <v>205.7</v>
      </c>
      <c r="I560" s="2">
        <v>117.11</v>
      </c>
      <c r="J560" s="2">
        <v>1136081.0999999999</v>
      </c>
      <c r="K560" s="2">
        <v>646798.53</v>
      </c>
    </row>
    <row r="561" spans="1:11" x14ac:dyDescent="0.3">
      <c r="A561" s="4" t="s">
        <v>559</v>
      </c>
      <c r="B561" s="4" t="s">
        <v>1168</v>
      </c>
      <c r="C561" s="4" t="s">
        <v>14</v>
      </c>
      <c r="D561" s="1">
        <v>44393</v>
      </c>
      <c r="E561" s="4">
        <v>591134679</v>
      </c>
      <c r="F561" s="1">
        <v>44431</v>
      </c>
      <c r="G561" s="3">
        <v>8743</v>
      </c>
      <c r="H561" s="2">
        <v>255.28</v>
      </c>
      <c r="I561" s="2">
        <v>159.41999999999999</v>
      </c>
      <c r="J561" s="2">
        <v>2231913.04</v>
      </c>
      <c r="K561" s="2">
        <v>1393809.0599999998</v>
      </c>
    </row>
    <row r="562" spans="1:11" x14ac:dyDescent="0.3">
      <c r="A562" s="4" t="s">
        <v>560</v>
      </c>
      <c r="B562" s="4" t="s">
        <v>1172</v>
      </c>
      <c r="C562" s="4" t="s">
        <v>17</v>
      </c>
      <c r="D562" s="1">
        <v>44708</v>
      </c>
      <c r="E562" s="4">
        <v>840668952</v>
      </c>
      <c r="F562" s="1">
        <v>44752</v>
      </c>
      <c r="G562" s="3">
        <v>1479</v>
      </c>
      <c r="H562" s="2">
        <v>437.2</v>
      </c>
      <c r="I562" s="2">
        <v>263.33</v>
      </c>
      <c r="J562" s="2">
        <v>646618.79999999993</v>
      </c>
      <c r="K562" s="2">
        <v>389465.06999999995</v>
      </c>
    </row>
    <row r="563" spans="1:11" x14ac:dyDescent="0.3">
      <c r="A563" s="4" t="s">
        <v>561</v>
      </c>
      <c r="B563" s="4" t="s">
        <v>1182</v>
      </c>
      <c r="C563" s="4" t="s">
        <v>12</v>
      </c>
      <c r="D563" s="1">
        <v>44103</v>
      </c>
      <c r="E563" s="4">
        <v>558863198</v>
      </c>
      <c r="F563" s="1">
        <v>44127</v>
      </c>
      <c r="G563" s="3">
        <v>8894</v>
      </c>
      <c r="H563" s="2">
        <v>668.27</v>
      </c>
      <c r="I563" s="2">
        <v>502.54</v>
      </c>
      <c r="J563" s="2">
        <v>5943593.3799999999</v>
      </c>
      <c r="K563" s="2">
        <v>4469590.76</v>
      </c>
    </row>
    <row r="564" spans="1:11" x14ac:dyDescent="0.3">
      <c r="A564" s="4" t="s">
        <v>562</v>
      </c>
      <c r="B564" s="4" t="s">
        <v>1168</v>
      </c>
      <c r="C564" s="4" t="s">
        <v>17</v>
      </c>
      <c r="D564" s="1">
        <v>44754</v>
      </c>
      <c r="E564" s="4">
        <v>867641246</v>
      </c>
      <c r="F564" s="1">
        <v>44769</v>
      </c>
      <c r="G564" s="3">
        <v>3180</v>
      </c>
      <c r="H564" s="2">
        <v>255.28</v>
      </c>
      <c r="I564" s="2">
        <v>159.41999999999999</v>
      </c>
      <c r="J564" s="2">
        <v>811790.4</v>
      </c>
      <c r="K564" s="2">
        <v>506955.6</v>
      </c>
    </row>
    <row r="565" spans="1:11" x14ac:dyDescent="0.3">
      <c r="A565" s="4" t="s">
        <v>563</v>
      </c>
      <c r="B565" s="4" t="s">
        <v>1164</v>
      </c>
      <c r="C565" s="4" t="s">
        <v>17</v>
      </c>
      <c r="D565" s="1">
        <v>44808</v>
      </c>
      <c r="E565" s="4">
        <v>709239423</v>
      </c>
      <c r="F565" s="1">
        <v>44828</v>
      </c>
      <c r="G565" s="3">
        <v>8561</v>
      </c>
      <c r="H565" s="2">
        <v>205.7</v>
      </c>
      <c r="I565" s="2">
        <v>117.11</v>
      </c>
      <c r="J565" s="2">
        <v>1760997.7</v>
      </c>
      <c r="K565" s="2">
        <v>1002578.71</v>
      </c>
    </row>
    <row r="566" spans="1:11" x14ac:dyDescent="0.3">
      <c r="A566" s="4" t="s">
        <v>564</v>
      </c>
      <c r="B566" s="4" t="s">
        <v>1164</v>
      </c>
      <c r="C566" s="4" t="s">
        <v>12</v>
      </c>
      <c r="D566" s="1">
        <v>44124</v>
      </c>
      <c r="E566" s="4">
        <v>896206557</v>
      </c>
      <c r="F566" s="1">
        <v>44151</v>
      </c>
      <c r="G566" s="3">
        <v>6291</v>
      </c>
      <c r="H566" s="2">
        <v>205.7</v>
      </c>
      <c r="I566" s="2">
        <v>117.11</v>
      </c>
      <c r="J566" s="2">
        <v>1294058.7</v>
      </c>
      <c r="K566" s="2">
        <v>736739.01</v>
      </c>
    </row>
    <row r="567" spans="1:11" x14ac:dyDescent="0.3">
      <c r="A567" s="4" t="s">
        <v>565</v>
      </c>
      <c r="B567" s="4" t="s">
        <v>1168</v>
      </c>
      <c r="C567" s="4" t="s">
        <v>12</v>
      </c>
      <c r="D567" s="1">
        <v>44799</v>
      </c>
      <c r="E567" s="4">
        <v>961403977</v>
      </c>
      <c r="F567" s="1">
        <v>44839</v>
      </c>
      <c r="G567" s="3">
        <v>9656</v>
      </c>
      <c r="H567" s="2">
        <v>255.28</v>
      </c>
      <c r="I567" s="2">
        <v>159.41999999999999</v>
      </c>
      <c r="J567" s="2">
        <v>2464983.6800000002</v>
      </c>
      <c r="K567" s="2">
        <v>1539359.5199999998</v>
      </c>
    </row>
    <row r="568" spans="1:11" x14ac:dyDescent="0.3">
      <c r="A568" s="4" t="s">
        <v>566</v>
      </c>
      <c r="B568" s="4" t="s">
        <v>1160</v>
      </c>
      <c r="C568" s="4" t="s">
        <v>14</v>
      </c>
      <c r="D568" s="1">
        <v>44374</v>
      </c>
      <c r="E568" s="4">
        <v>508005511</v>
      </c>
      <c r="F568" s="1">
        <v>44423</v>
      </c>
      <c r="G568" s="3">
        <v>8975</v>
      </c>
      <c r="H568" s="2">
        <v>152.58000000000001</v>
      </c>
      <c r="I568" s="2">
        <v>97.44</v>
      </c>
      <c r="J568" s="2">
        <v>1369405.5</v>
      </c>
      <c r="K568" s="2">
        <v>874524</v>
      </c>
    </row>
    <row r="569" spans="1:11" x14ac:dyDescent="0.3">
      <c r="A569" s="4" t="s">
        <v>79</v>
      </c>
      <c r="B569" s="4" t="s">
        <v>1166</v>
      </c>
      <c r="C569" s="4" t="s">
        <v>12</v>
      </c>
      <c r="D569" s="1">
        <v>44717</v>
      </c>
      <c r="E569" s="4">
        <v>559497487</v>
      </c>
      <c r="F569" s="1">
        <v>44726</v>
      </c>
      <c r="G569" s="3">
        <v>6595</v>
      </c>
      <c r="H569" s="2">
        <v>9.33</v>
      </c>
      <c r="I569" s="2">
        <v>6.92</v>
      </c>
      <c r="J569" s="2">
        <v>61531.35</v>
      </c>
      <c r="K569" s="2">
        <v>45637.4</v>
      </c>
    </row>
    <row r="570" spans="1:11" x14ac:dyDescent="0.3">
      <c r="A570" s="4" t="s">
        <v>567</v>
      </c>
      <c r="B570" s="4" t="s">
        <v>1172</v>
      </c>
      <c r="C570" s="4" t="s">
        <v>17</v>
      </c>
      <c r="D570" s="1">
        <v>44185</v>
      </c>
      <c r="E570" s="4">
        <v>409678733</v>
      </c>
      <c r="F570" s="1">
        <v>44198</v>
      </c>
      <c r="G570" s="3">
        <v>1896</v>
      </c>
      <c r="H570" s="2">
        <v>437.2</v>
      </c>
      <c r="I570" s="2">
        <v>263.33</v>
      </c>
      <c r="J570" s="2">
        <v>828931.2</v>
      </c>
      <c r="K570" s="2">
        <v>499273.68</v>
      </c>
    </row>
    <row r="571" spans="1:11" x14ac:dyDescent="0.3">
      <c r="A571" s="4" t="s">
        <v>568</v>
      </c>
      <c r="B571" s="4" t="s">
        <v>1172</v>
      </c>
      <c r="C571" s="4" t="s">
        <v>19</v>
      </c>
      <c r="D571" s="1">
        <v>44418</v>
      </c>
      <c r="E571" s="4">
        <v>772660577</v>
      </c>
      <c r="F571" s="1">
        <v>44434</v>
      </c>
      <c r="G571" s="3">
        <v>6290</v>
      </c>
      <c r="H571" s="2">
        <v>437.2</v>
      </c>
      <c r="I571" s="2">
        <v>263.33</v>
      </c>
      <c r="J571" s="2">
        <v>2749988</v>
      </c>
      <c r="K571" s="2">
        <v>1656345.7</v>
      </c>
    </row>
    <row r="572" spans="1:11" x14ac:dyDescent="0.3">
      <c r="A572" s="4" t="s">
        <v>569</v>
      </c>
      <c r="B572" s="4" t="s">
        <v>1170</v>
      </c>
      <c r="C572" s="4" t="s">
        <v>12</v>
      </c>
      <c r="D572" s="1">
        <v>44590</v>
      </c>
      <c r="E572" s="4">
        <v>632866847</v>
      </c>
      <c r="F572" s="1">
        <v>44604</v>
      </c>
      <c r="G572" s="3">
        <v>8219</v>
      </c>
      <c r="H572" s="2">
        <v>47.45</v>
      </c>
      <c r="I572" s="2">
        <v>31.79</v>
      </c>
      <c r="J572" s="2">
        <v>389991.55000000005</v>
      </c>
      <c r="K572" s="2">
        <v>261282.00999999998</v>
      </c>
    </row>
    <row r="573" spans="1:11" x14ac:dyDescent="0.3">
      <c r="A573" s="4" t="s">
        <v>570</v>
      </c>
      <c r="B573" s="4" t="s">
        <v>1160</v>
      </c>
      <c r="C573" s="4" t="s">
        <v>19</v>
      </c>
      <c r="D573" s="1">
        <v>44022</v>
      </c>
      <c r="E573" s="4">
        <v>395033872</v>
      </c>
      <c r="F573" s="1">
        <v>44035</v>
      </c>
      <c r="G573" s="3">
        <v>8156</v>
      </c>
      <c r="H573" s="2">
        <v>152.58000000000001</v>
      </c>
      <c r="I573" s="2">
        <v>97.44</v>
      </c>
      <c r="J573" s="2">
        <v>1244442.4800000002</v>
      </c>
      <c r="K573" s="2">
        <v>794720.64</v>
      </c>
    </row>
    <row r="574" spans="1:11" x14ac:dyDescent="0.3">
      <c r="A574" s="4" t="s">
        <v>571</v>
      </c>
      <c r="B574" s="4" t="s">
        <v>1174</v>
      </c>
      <c r="C574" s="4" t="s">
        <v>14</v>
      </c>
      <c r="D574" s="1">
        <v>44793</v>
      </c>
      <c r="E574" s="4">
        <v>534210479</v>
      </c>
      <c r="F574" s="1">
        <v>44802</v>
      </c>
      <c r="G574" s="3">
        <v>3607</v>
      </c>
      <c r="H574" s="2">
        <v>81.73</v>
      </c>
      <c r="I574" s="2">
        <v>56.67</v>
      </c>
      <c r="J574" s="2">
        <v>294800.11</v>
      </c>
      <c r="K574" s="2">
        <v>204408.69</v>
      </c>
    </row>
    <row r="575" spans="1:11" x14ac:dyDescent="0.3">
      <c r="A575" s="4" t="s">
        <v>572</v>
      </c>
      <c r="B575" s="4" t="s">
        <v>1166</v>
      </c>
      <c r="C575" s="4" t="s">
        <v>14</v>
      </c>
      <c r="D575" s="1">
        <v>43908</v>
      </c>
      <c r="E575" s="4">
        <v>245757997</v>
      </c>
      <c r="F575" s="1">
        <v>43920</v>
      </c>
      <c r="G575" s="3">
        <v>4107</v>
      </c>
      <c r="H575" s="2">
        <v>9.33</v>
      </c>
      <c r="I575" s="2">
        <v>6.92</v>
      </c>
      <c r="J575" s="2">
        <v>38318.31</v>
      </c>
      <c r="K575" s="2">
        <v>28420.44</v>
      </c>
    </row>
    <row r="576" spans="1:11" x14ac:dyDescent="0.3">
      <c r="A576" s="4" t="s">
        <v>573</v>
      </c>
      <c r="B576" s="4" t="s">
        <v>1176</v>
      </c>
      <c r="C576" s="4" t="s">
        <v>17</v>
      </c>
      <c r="D576" s="1">
        <v>44260</v>
      </c>
      <c r="E576" s="4">
        <v>595350253</v>
      </c>
      <c r="F576" s="1">
        <v>44279</v>
      </c>
      <c r="G576" s="3">
        <v>6225</v>
      </c>
      <c r="H576" s="2">
        <v>651.21</v>
      </c>
      <c r="I576" s="2">
        <v>524.96</v>
      </c>
      <c r="J576" s="2">
        <v>4053782.25</v>
      </c>
      <c r="K576" s="2">
        <v>3267876</v>
      </c>
    </row>
    <row r="577" spans="1:11" x14ac:dyDescent="0.3">
      <c r="A577" s="4" t="s">
        <v>574</v>
      </c>
      <c r="B577" s="4" t="s">
        <v>1164</v>
      </c>
      <c r="C577" s="4" t="s">
        <v>17</v>
      </c>
      <c r="D577" s="1">
        <v>44715</v>
      </c>
      <c r="E577" s="4">
        <v>468973577</v>
      </c>
      <c r="F577" s="1">
        <v>44755</v>
      </c>
      <c r="G577" s="3">
        <v>8558</v>
      </c>
      <c r="H577" s="2">
        <v>205.7</v>
      </c>
      <c r="I577" s="2">
        <v>117.11</v>
      </c>
      <c r="J577" s="2">
        <v>1760380.5999999999</v>
      </c>
      <c r="K577" s="2">
        <v>1002227.38</v>
      </c>
    </row>
    <row r="578" spans="1:11" x14ac:dyDescent="0.3">
      <c r="A578" s="4" t="s">
        <v>575</v>
      </c>
      <c r="B578" s="4" t="s">
        <v>1162</v>
      </c>
      <c r="C578" s="4" t="s">
        <v>14</v>
      </c>
      <c r="D578" s="1">
        <v>44806</v>
      </c>
      <c r="E578" s="4">
        <v>622926795</v>
      </c>
      <c r="F578" s="1">
        <v>44830</v>
      </c>
      <c r="G578" s="3">
        <v>6736</v>
      </c>
      <c r="H578" s="2">
        <v>421.89</v>
      </c>
      <c r="I578" s="2">
        <v>364.69</v>
      </c>
      <c r="J578" s="2">
        <v>2841851.04</v>
      </c>
      <c r="K578" s="2">
        <v>2456551.84</v>
      </c>
    </row>
    <row r="579" spans="1:11" x14ac:dyDescent="0.3">
      <c r="A579" s="4" t="s">
        <v>576</v>
      </c>
      <c r="B579" s="4" t="s">
        <v>1182</v>
      </c>
      <c r="C579" s="4" t="s">
        <v>19</v>
      </c>
      <c r="D579" s="1">
        <v>44213</v>
      </c>
      <c r="E579" s="4">
        <v>533821237</v>
      </c>
      <c r="F579" s="1">
        <v>44248</v>
      </c>
      <c r="G579" s="3">
        <v>8421</v>
      </c>
      <c r="H579" s="2">
        <v>668.27</v>
      </c>
      <c r="I579" s="2">
        <v>502.54</v>
      </c>
      <c r="J579" s="2">
        <v>5627501.6699999999</v>
      </c>
      <c r="K579" s="2">
        <v>4231889.34</v>
      </c>
    </row>
    <row r="580" spans="1:11" x14ac:dyDescent="0.3">
      <c r="A580" s="4" t="s">
        <v>577</v>
      </c>
      <c r="B580" s="4" t="s">
        <v>1174</v>
      </c>
      <c r="C580" s="4" t="s">
        <v>17</v>
      </c>
      <c r="D580" s="1">
        <v>44330</v>
      </c>
      <c r="E580" s="4">
        <v>648580729</v>
      </c>
      <c r="F580" s="1">
        <v>44351</v>
      </c>
      <c r="G580" s="3">
        <v>8306</v>
      </c>
      <c r="H580" s="2">
        <v>81.73</v>
      </c>
      <c r="I580" s="2">
        <v>56.67</v>
      </c>
      <c r="J580" s="2">
        <v>678849.38</v>
      </c>
      <c r="K580" s="2">
        <v>470701.02</v>
      </c>
    </row>
    <row r="581" spans="1:11" x14ac:dyDescent="0.3">
      <c r="A581" s="4" t="s">
        <v>578</v>
      </c>
      <c r="B581" s="4" t="s">
        <v>1164</v>
      </c>
      <c r="C581" s="4" t="s">
        <v>12</v>
      </c>
      <c r="D581" s="1">
        <v>44608</v>
      </c>
      <c r="E581" s="4">
        <v>134441602</v>
      </c>
      <c r="F581" s="1">
        <v>44656</v>
      </c>
      <c r="G581" s="3">
        <v>3112</v>
      </c>
      <c r="H581" s="2">
        <v>205.7</v>
      </c>
      <c r="I581" s="2">
        <v>117.11</v>
      </c>
      <c r="J581" s="2">
        <v>640138.39999999991</v>
      </c>
      <c r="K581" s="2">
        <v>364446.32</v>
      </c>
    </row>
    <row r="582" spans="1:11" x14ac:dyDescent="0.3">
      <c r="A582" s="4" t="s">
        <v>579</v>
      </c>
      <c r="B582" s="4" t="s">
        <v>1172</v>
      </c>
      <c r="C582" s="4" t="s">
        <v>17</v>
      </c>
      <c r="D582" s="1">
        <v>44125</v>
      </c>
      <c r="E582" s="4">
        <v>928952682</v>
      </c>
      <c r="F582" s="1">
        <v>44140</v>
      </c>
      <c r="G582" s="3">
        <v>6597</v>
      </c>
      <c r="H582" s="2">
        <v>437.2</v>
      </c>
      <c r="I582" s="2">
        <v>263.33</v>
      </c>
      <c r="J582" s="2">
        <v>2884208.4</v>
      </c>
      <c r="K582" s="2">
        <v>1737188.01</v>
      </c>
    </row>
    <row r="583" spans="1:11" x14ac:dyDescent="0.3">
      <c r="A583" s="4" t="s">
        <v>580</v>
      </c>
      <c r="B583" s="4" t="s">
        <v>1176</v>
      </c>
      <c r="C583" s="4" t="s">
        <v>19</v>
      </c>
      <c r="D583" s="1">
        <v>44192</v>
      </c>
      <c r="E583" s="4">
        <v>989975297</v>
      </c>
      <c r="F583" s="1">
        <v>44234</v>
      </c>
      <c r="G583" s="3">
        <v>4545</v>
      </c>
      <c r="H583" s="2">
        <v>651.21</v>
      </c>
      <c r="I583" s="2">
        <v>524.96</v>
      </c>
      <c r="J583" s="2">
        <v>2959749.45</v>
      </c>
      <c r="K583" s="2">
        <v>2385943.2000000002</v>
      </c>
    </row>
    <row r="584" spans="1:11" x14ac:dyDescent="0.3">
      <c r="A584" s="4" t="s">
        <v>581</v>
      </c>
      <c r="B584" s="4" t="s">
        <v>1174</v>
      </c>
      <c r="C584" s="4" t="s">
        <v>17</v>
      </c>
      <c r="D584" s="1">
        <v>44702</v>
      </c>
      <c r="E584" s="4">
        <v>145683276</v>
      </c>
      <c r="F584" s="1">
        <v>44730</v>
      </c>
      <c r="G584" s="3">
        <v>9774</v>
      </c>
      <c r="H584" s="2">
        <v>81.73</v>
      </c>
      <c r="I584" s="2">
        <v>56.67</v>
      </c>
      <c r="J584" s="2">
        <v>798829.02</v>
      </c>
      <c r="K584" s="2">
        <v>553892.58000000007</v>
      </c>
    </row>
    <row r="585" spans="1:11" x14ac:dyDescent="0.3">
      <c r="A585" s="4" t="s">
        <v>582</v>
      </c>
      <c r="B585" s="4" t="s">
        <v>1172</v>
      </c>
      <c r="C585" s="4" t="s">
        <v>19</v>
      </c>
      <c r="D585" s="1">
        <v>44649</v>
      </c>
      <c r="E585" s="4">
        <v>544562947</v>
      </c>
      <c r="F585" s="1">
        <v>44692</v>
      </c>
      <c r="G585" s="3">
        <v>7132</v>
      </c>
      <c r="H585" s="2">
        <v>437.2</v>
      </c>
      <c r="I585" s="2">
        <v>263.33</v>
      </c>
      <c r="J585" s="2">
        <v>3118110.4</v>
      </c>
      <c r="K585" s="2">
        <v>1878069.5599999998</v>
      </c>
    </row>
    <row r="586" spans="1:11" x14ac:dyDescent="0.3">
      <c r="A586" s="4" t="s">
        <v>583</v>
      </c>
      <c r="B586" s="4" t="s">
        <v>1160</v>
      </c>
      <c r="C586" s="4" t="s">
        <v>12</v>
      </c>
      <c r="D586" s="1">
        <v>44742</v>
      </c>
      <c r="E586" s="4">
        <v>805413138</v>
      </c>
      <c r="F586" s="1">
        <v>44783</v>
      </c>
      <c r="G586" s="3">
        <v>8501</v>
      </c>
      <c r="H586" s="2">
        <v>152.58000000000001</v>
      </c>
      <c r="I586" s="2">
        <v>97.44</v>
      </c>
      <c r="J586" s="2">
        <v>1297082.58</v>
      </c>
      <c r="K586" s="2">
        <v>828337.44</v>
      </c>
    </row>
    <row r="587" spans="1:11" x14ac:dyDescent="0.3">
      <c r="A587" s="4" t="s">
        <v>584</v>
      </c>
      <c r="B587" s="4" t="s">
        <v>1170</v>
      </c>
      <c r="C587" s="4" t="s">
        <v>17</v>
      </c>
      <c r="D587" s="1">
        <v>44792</v>
      </c>
      <c r="E587" s="4">
        <v>967345178</v>
      </c>
      <c r="F587" s="1">
        <v>44833</v>
      </c>
      <c r="G587" s="3">
        <v>7789</v>
      </c>
      <c r="H587" s="2">
        <v>47.45</v>
      </c>
      <c r="I587" s="2">
        <v>31.79</v>
      </c>
      <c r="J587" s="2">
        <v>369588.05000000005</v>
      </c>
      <c r="K587" s="2">
        <v>247612.31</v>
      </c>
    </row>
    <row r="588" spans="1:11" x14ac:dyDescent="0.3">
      <c r="A588" s="4" t="s">
        <v>585</v>
      </c>
      <c r="B588" s="4" t="s">
        <v>1180</v>
      </c>
      <c r="C588" s="4" t="s">
        <v>14</v>
      </c>
      <c r="D588" s="1">
        <v>44234</v>
      </c>
      <c r="E588" s="4">
        <v>239782893</v>
      </c>
      <c r="F588" s="1">
        <v>44283</v>
      </c>
      <c r="G588" s="3">
        <v>5941</v>
      </c>
      <c r="H588" s="2">
        <v>109.28</v>
      </c>
      <c r="I588" s="2">
        <v>35.840000000000003</v>
      </c>
      <c r="J588" s="2">
        <v>649232.48</v>
      </c>
      <c r="K588" s="2">
        <v>212925.44000000003</v>
      </c>
    </row>
    <row r="589" spans="1:11" x14ac:dyDescent="0.3">
      <c r="A589" s="4" t="s">
        <v>586</v>
      </c>
      <c r="B589" s="4" t="s">
        <v>1174</v>
      </c>
      <c r="C589" s="4" t="s">
        <v>12</v>
      </c>
      <c r="D589" s="1">
        <v>44739</v>
      </c>
      <c r="E589" s="4">
        <v>152462613</v>
      </c>
      <c r="F589" s="1">
        <v>44774</v>
      </c>
      <c r="G589" s="3">
        <v>5930</v>
      </c>
      <c r="H589" s="2">
        <v>81.73</v>
      </c>
      <c r="I589" s="2">
        <v>56.67</v>
      </c>
      <c r="J589" s="2">
        <v>484658.9</v>
      </c>
      <c r="K589" s="2">
        <v>336053.10000000003</v>
      </c>
    </row>
    <row r="590" spans="1:11" x14ac:dyDescent="0.3">
      <c r="A590" s="4" t="s">
        <v>587</v>
      </c>
      <c r="B590" s="4" t="s">
        <v>1180</v>
      </c>
      <c r="C590" s="4" t="s">
        <v>12</v>
      </c>
      <c r="D590" s="1">
        <v>44470</v>
      </c>
      <c r="E590" s="4">
        <v>505433166</v>
      </c>
      <c r="F590" s="1">
        <v>44478</v>
      </c>
      <c r="G590" s="3">
        <v>7760</v>
      </c>
      <c r="H590" s="2">
        <v>109.28</v>
      </c>
      <c r="I590" s="2">
        <v>35.840000000000003</v>
      </c>
      <c r="J590" s="2">
        <v>848012.80000000005</v>
      </c>
      <c r="K590" s="2">
        <v>278118.40000000002</v>
      </c>
    </row>
    <row r="591" spans="1:11" x14ac:dyDescent="0.3">
      <c r="A591" s="4" t="s">
        <v>588</v>
      </c>
      <c r="B591" s="4" t="s">
        <v>1166</v>
      </c>
      <c r="C591" s="4" t="s">
        <v>17</v>
      </c>
      <c r="D591" s="1">
        <v>44869</v>
      </c>
      <c r="E591" s="4">
        <v>719055879</v>
      </c>
      <c r="F591" s="1">
        <v>44909</v>
      </c>
      <c r="G591" s="3">
        <v>3468</v>
      </c>
      <c r="H591" s="2">
        <v>9.33</v>
      </c>
      <c r="I591" s="2">
        <v>6.92</v>
      </c>
      <c r="J591" s="2">
        <v>32356.44</v>
      </c>
      <c r="K591" s="2">
        <v>23998.560000000001</v>
      </c>
    </row>
    <row r="592" spans="1:11" x14ac:dyDescent="0.3">
      <c r="A592" s="4" t="s">
        <v>589</v>
      </c>
      <c r="B592" s="4" t="s">
        <v>1172</v>
      </c>
      <c r="C592" s="4" t="s">
        <v>19</v>
      </c>
      <c r="D592" s="1">
        <v>43872</v>
      </c>
      <c r="E592" s="4">
        <v>284004580</v>
      </c>
      <c r="F592" s="1">
        <v>43912</v>
      </c>
      <c r="G592" s="3">
        <v>2121</v>
      </c>
      <c r="H592" s="2">
        <v>437.2</v>
      </c>
      <c r="I592" s="2">
        <v>263.33</v>
      </c>
      <c r="J592" s="2">
        <v>927301.2</v>
      </c>
      <c r="K592" s="2">
        <v>558522.92999999993</v>
      </c>
    </row>
    <row r="593" spans="1:11" x14ac:dyDescent="0.3">
      <c r="A593" s="4" t="s">
        <v>590</v>
      </c>
      <c r="B593" s="4" t="s">
        <v>1176</v>
      </c>
      <c r="C593" s="4" t="s">
        <v>19</v>
      </c>
      <c r="D593" s="1">
        <v>44780</v>
      </c>
      <c r="E593" s="4">
        <v>111265599</v>
      </c>
      <c r="F593" s="1">
        <v>44811</v>
      </c>
      <c r="G593" s="3">
        <v>4818</v>
      </c>
      <c r="H593" s="2">
        <v>651.21</v>
      </c>
      <c r="I593" s="2">
        <v>524.96</v>
      </c>
      <c r="J593" s="2">
        <v>3137529.7800000003</v>
      </c>
      <c r="K593" s="2">
        <v>2529257.2800000003</v>
      </c>
    </row>
    <row r="594" spans="1:11" x14ac:dyDescent="0.3">
      <c r="A594" s="4" t="s">
        <v>591</v>
      </c>
      <c r="B594" s="4" t="s">
        <v>1168</v>
      </c>
      <c r="C594" s="4" t="s">
        <v>17</v>
      </c>
      <c r="D594" s="1">
        <v>44255</v>
      </c>
      <c r="E594" s="4">
        <v>282137763</v>
      </c>
      <c r="F594" s="1">
        <v>44280</v>
      </c>
      <c r="G594" s="3">
        <v>9689</v>
      </c>
      <c r="H594" s="2">
        <v>255.28</v>
      </c>
      <c r="I594" s="2">
        <v>159.41999999999999</v>
      </c>
      <c r="J594" s="2">
        <v>2473407.92</v>
      </c>
      <c r="K594" s="2">
        <v>1544620.38</v>
      </c>
    </row>
    <row r="595" spans="1:11" x14ac:dyDescent="0.3">
      <c r="A595" s="4" t="s">
        <v>592</v>
      </c>
      <c r="B595" s="4" t="s">
        <v>1182</v>
      </c>
      <c r="C595" s="4" t="s">
        <v>14</v>
      </c>
      <c r="D595" s="1">
        <v>44327</v>
      </c>
      <c r="E595" s="4">
        <v>498232400</v>
      </c>
      <c r="F595" s="1">
        <v>44374</v>
      </c>
      <c r="G595" s="3">
        <v>6894</v>
      </c>
      <c r="H595" s="2">
        <v>668.27</v>
      </c>
      <c r="I595" s="2">
        <v>502.54</v>
      </c>
      <c r="J595" s="2">
        <v>4607053.38</v>
      </c>
      <c r="K595" s="2">
        <v>3464510.7600000002</v>
      </c>
    </row>
    <row r="596" spans="1:11" x14ac:dyDescent="0.3">
      <c r="A596" s="4" t="s">
        <v>593</v>
      </c>
      <c r="B596" s="4" t="s">
        <v>1164</v>
      </c>
      <c r="C596" s="4" t="s">
        <v>19</v>
      </c>
      <c r="D596" s="1">
        <v>44563</v>
      </c>
      <c r="E596" s="4">
        <v>531473338</v>
      </c>
      <c r="F596" s="1">
        <v>44572</v>
      </c>
      <c r="G596" s="3">
        <v>3626</v>
      </c>
      <c r="H596" s="2">
        <v>205.7</v>
      </c>
      <c r="I596" s="2">
        <v>117.11</v>
      </c>
      <c r="J596" s="2">
        <v>745868.2</v>
      </c>
      <c r="K596" s="2">
        <v>424640.86</v>
      </c>
    </row>
    <row r="597" spans="1:11" x14ac:dyDescent="0.3">
      <c r="A597" s="4" t="s">
        <v>72</v>
      </c>
      <c r="B597" s="4" t="s">
        <v>1168</v>
      </c>
      <c r="C597" s="4" t="s">
        <v>12</v>
      </c>
      <c r="D597" s="1">
        <v>44674</v>
      </c>
      <c r="E597" s="4">
        <v>674096906</v>
      </c>
      <c r="F597" s="1">
        <v>44713</v>
      </c>
      <c r="G597" s="3">
        <v>9109</v>
      </c>
      <c r="H597" s="2">
        <v>255.28</v>
      </c>
      <c r="I597" s="2">
        <v>159.41999999999999</v>
      </c>
      <c r="J597" s="2">
        <v>2325345.52</v>
      </c>
      <c r="K597" s="2">
        <v>1452156.7799999998</v>
      </c>
    </row>
    <row r="598" spans="1:11" x14ac:dyDescent="0.3">
      <c r="A598" s="4" t="s">
        <v>594</v>
      </c>
      <c r="B598" s="4" t="s">
        <v>1168</v>
      </c>
      <c r="C598" s="4" t="s">
        <v>14</v>
      </c>
      <c r="D598" s="1">
        <v>44000</v>
      </c>
      <c r="E598" s="4">
        <v>388651931</v>
      </c>
      <c r="F598" s="1">
        <v>44050</v>
      </c>
      <c r="G598" s="3">
        <v>9598</v>
      </c>
      <c r="H598" s="2">
        <v>255.28</v>
      </c>
      <c r="I598" s="2">
        <v>159.41999999999999</v>
      </c>
      <c r="J598" s="2">
        <v>2450177.44</v>
      </c>
      <c r="K598" s="2">
        <v>1530113.16</v>
      </c>
    </row>
    <row r="599" spans="1:11" x14ac:dyDescent="0.3">
      <c r="A599" s="4" t="s">
        <v>595</v>
      </c>
      <c r="B599" s="4" t="s">
        <v>1176</v>
      </c>
      <c r="C599" s="4" t="s">
        <v>19</v>
      </c>
      <c r="D599" s="1">
        <v>44112</v>
      </c>
      <c r="E599" s="4">
        <v>557999742</v>
      </c>
      <c r="F599" s="1">
        <v>44132</v>
      </c>
      <c r="G599" s="3">
        <v>3378</v>
      </c>
      <c r="H599" s="2">
        <v>651.21</v>
      </c>
      <c r="I599" s="2">
        <v>524.96</v>
      </c>
      <c r="J599" s="2">
        <v>2199787.3800000004</v>
      </c>
      <c r="K599" s="2">
        <v>1773314.8800000001</v>
      </c>
    </row>
    <row r="600" spans="1:11" x14ac:dyDescent="0.3">
      <c r="A600" s="4" t="s">
        <v>437</v>
      </c>
      <c r="B600" s="4" t="s">
        <v>1160</v>
      </c>
      <c r="C600" s="4" t="s">
        <v>14</v>
      </c>
      <c r="D600" s="1">
        <v>44120</v>
      </c>
      <c r="E600" s="4">
        <v>335314166</v>
      </c>
      <c r="F600" s="1">
        <v>44136</v>
      </c>
      <c r="G600" s="3">
        <v>5768</v>
      </c>
      <c r="H600" s="2">
        <v>152.58000000000001</v>
      </c>
      <c r="I600" s="2">
        <v>97.44</v>
      </c>
      <c r="J600" s="2">
        <v>880081.44000000006</v>
      </c>
      <c r="K600" s="2">
        <v>562033.92000000004</v>
      </c>
    </row>
    <row r="601" spans="1:11" x14ac:dyDescent="0.3">
      <c r="A601" s="4" t="s">
        <v>596</v>
      </c>
      <c r="B601" s="4" t="s">
        <v>1162</v>
      </c>
      <c r="C601" s="4" t="s">
        <v>12</v>
      </c>
      <c r="D601" s="1">
        <v>44324</v>
      </c>
      <c r="E601" s="4">
        <v>294081532</v>
      </c>
      <c r="F601" s="1">
        <v>44340</v>
      </c>
      <c r="G601" s="3">
        <v>4115</v>
      </c>
      <c r="H601" s="2">
        <v>421.89</v>
      </c>
      <c r="I601" s="2">
        <v>364.69</v>
      </c>
      <c r="J601" s="2">
        <v>1736077.3499999999</v>
      </c>
      <c r="K601" s="2">
        <v>1500699.35</v>
      </c>
    </row>
    <row r="602" spans="1:11" x14ac:dyDescent="0.3">
      <c r="A602" s="4" t="s">
        <v>597</v>
      </c>
      <c r="B602" s="4" t="s">
        <v>1180</v>
      </c>
      <c r="C602" s="4" t="s">
        <v>19</v>
      </c>
      <c r="D602" s="1">
        <v>44650</v>
      </c>
      <c r="E602" s="4">
        <v>178100669</v>
      </c>
      <c r="F602" s="1">
        <v>44690</v>
      </c>
      <c r="G602" s="3">
        <v>2801</v>
      </c>
      <c r="H602" s="2">
        <v>109.28</v>
      </c>
      <c r="I602" s="2">
        <v>35.840000000000003</v>
      </c>
      <c r="J602" s="2">
        <v>306093.28000000003</v>
      </c>
      <c r="K602" s="2">
        <v>100387.84000000001</v>
      </c>
    </row>
    <row r="603" spans="1:11" x14ac:dyDescent="0.3">
      <c r="A603" s="4" t="s">
        <v>598</v>
      </c>
      <c r="B603" s="4" t="s">
        <v>1182</v>
      </c>
      <c r="C603" s="4" t="s">
        <v>19</v>
      </c>
      <c r="D603" s="1">
        <v>44125</v>
      </c>
      <c r="E603" s="4">
        <v>251482903</v>
      </c>
      <c r="F603" s="1">
        <v>44141</v>
      </c>
      <c r="G603" s="3">
        <v>8234</v>
      </c>
      <c r="H603" s="2">
        <v>668.27</v>
      </c>
      <c r="I603" s="2">
        <v>502.54</v>
      </c>
      <c r="J603" s="2">
        <v>5502535.1799999997</v>
      </c>
      <c r="K603" s="2">
        <v>4137914.3600000003</v>
      </c>
    </row>
    <row r="604" spans="1:11" x14ac:dyDescent="0.3">
      <c r="A604" s="4" t="s">
        <v>599</v>
      </c>
      <c r="B604" s="4" t="s">
        <v>1162</v>
      </c>
      <c r="C604" s="4" t="s">
        <v>17</v>
      </c>
      <c r="D604" s="1">
        <v>44534</v>
      </c>
      <c r="E604" s="4">
        <v>848652064</v>
      </c>
      <c r="F604" s="1">
        <v>44550</v>
      </c>
      <c r="G604" s="3">
        <v>3860</v>
      </c>
      <c r="H604" s="2">
        <v>421.89</v>
      </c>
      <c r="I604" s="2">
        <v>364.69</v>
      </c>
      <c r="J604" s="2">
        <v>1628495.4</v>
      </c>
      <c r="K604" s="2">
        <v>1407703.4</v>
      </c>
    </row>
    <row r="605" spans="1:11" x14ac:dyDescent="0.3">
      <c r="A605" s="4" t="s">
        <v>600</v>
      </c>
      <c r="B605" s="4" t="s">
        <v>1164</v>
      </c>
      <c r="C605" s="4" t="s">
        <v>12</v>
      </c>
      <c r="D605" s="1">
        <v>44676</v>
      </c>
      <c r="E605" s="4">
        <v>124344480</v>
      </c>
      <c r="F605" s="1">
        <v>44697</v>
      </c>
      <c r="G605" s="3">
        <v>5150</v>
      </c>
      <c r="H605" s="2">
        <v>205.7</v>
      </c>
      <c r="I605" s="2">
        <v>117.11</v>
      </c>
      <c r="J605" s="2">
        <v>1059355</v>
      </c>
      <c r="K605" s="2">
        <v>603116.5</v>
      </c>
    </row>
    <row r="606" spans="1:11" x14ac:dyDescent="0.3">
      <c r="A606" s="4" t="s">
        <v>601</v>
      </c>
      <c r="B606" s="4" t="s">
        <v>1174</v>
      </c>
      <c r="C606" s="4" t="s">
        <v>17</v>
      </c>
      <c r="D606" s="1">
        <v>44020</v>
      </c>
      <c r="E606" s="4">
        <v>803608977</v>
      </c>
      <c r="F606" s="1">
        <v>44022</v>
      </c>
      <c r="G606" s="3">
        <v>4609</v>
      </c>
      <c r="H606" s="2">
        <v>81.73</v>
      </c>
      <c r="I606" s="2">
        <v>56.67</v>
      </c>
      <c r="J606" s="2">
        <v>376693.57</v>
      </c>
      <c r="K606" s="2">
        <v>261192.03</v>
      </c>
    </row>
    <row r="607" spans="1:11" x14ac:dyDescent="0.3">
      <c r="A607" s="4" t="s">
        <v>602</v>
      </c>
      <c r="B607" s="4" t="s">
        <v>1180</v>
      </c>
      <c r="C607" s="4" t="s">
        <v>14</v>
      </c>
      <c r="D607" s="1">
        <v>44269</v>
      </c>
      <c r="E607" s="4">
        <v>731806886</v>
      </c>
      <c r="F607" s="1">
        <v>44314</v>
      </c>
      <c r="G607" s="3">
        <v>6775</v>
      </c>
      <c r="H607" s="2">
        <v>109.28</v>
      </c>
      <c r="I607" s="2">
        <v>35.840000000000003</v>
      </c>
      <c r="J607" s="2">
        <v>740372</v>
      </c>
      <c r="K607" s="2">
        <v>242816.00000000003</v>
      </c>
    </row>
    <row r="608" spans="1:11" x14ac:dyDescent="0.3">
      <c r="A608" s="4" t="s">
        <v>603</v>
      </c>
      <c r="B608" s="4" t="s">
        <v>1178</v>
      </c>
      <c r="C608" s="4" t="s">
        <v>12</v>
      </c>
      <c r="D608" s="1">
        <v>44663</v>
      </c>
      <c r="E608" s="4">
        <v>524612033</v>
      </c>
      <c r="F608" s="1">
        <v>44682</v>
      </c>
      <c r="G608" s="3">
        <v>3213</v>
      </c>
      <c r="H608" s="2">
        <v>154.06</v>
      </c>
      <c r="I608" s="2">
        <v>90.93</v>
      </c>
      <c r="J608" s="2">
        <v>494994.78</v>
      </c>
      <c r="K608" s="2">
        <v>292158.09000000003</v>
      </c>
    </row>
    <row r="609" spans="1:11" x14ac:dyDescent="0.3">
      <c r="A609" s="4" t="s">
        <v>604</v>
      </c>
      <c r="B609" s="4" t="s">
        <v>1164</v>
      </c>
      <c r="C609" s="4" t="s">
        <v>14</v>
      </c>
      <c r="D609" s="1">
        <v>44588</v>
      </c>
      <c r="E609" s="4">
        <v>418010747</v>
      </c>
      <c r="F609" s="1">
        <v>44599</v>
      </c>
      <c r="G609" s="3">
        <v>7524</v>
      </c>
      <c r="H609" s="2">
        <v>205.7</v>
      </c>
      <c r="I609" s="2">
        <v>117.11</v>
      </c>
      <c r="J609" s="2">
        <v>1547686.7999999998</v>
      </c>
      <c r="K609" s="2">
        <v>881135.64</v>
      </c>
    </row>
    <row r="610" spans="1:11" x14ac:dyDescent="0.3">
      <c r="A610" s="4" t="s">
        <v>605</v>
      </c>
      <c r="B610" s="4" t="s">
        <v>1180</v>
      </c>
      <c r="C610" s="4" t="s">
        <v>17</v>
      </c>
      <c r="D610" s="1">
        <v>44100</v>
      </c>
      <c r="E610" s="4">
        <v>718301856</v>
      </c>
      <c r="F610" s="1">
        <v>44147</v>
      </c>
      <c r="G610" s="3">
        <v>336</v>
      </c>
      <c r="H610" s="2">
        <v>109.28</v>
      </c>
      <c r="I610" s="2">
        <v>35.840000000000003</v>
      </c>
      <c r="J610" s="2">
        <v>36718.080000000002</v>
      </c>
      <c r="K610" s="2">
        <v>12042.240000000002</v>
      </c>
    </row>
    <row r="611" spans="1:11" x14ac:dyDescent="0.3">
      <c r="A611" s="4" t="s">
        <v>606</v>
      </c>
      <c r="B611" s="4" t="s">
        <v>1180</v>
      </c>
      <c r="C611" s="4" t="s">
        <v>19</v>
      </c>
      <c r="D611" s="1">
        <v>44446</v>
      </c>
      <c r="E611" s="4">
        <v>452096688</v>
      </c>
      <c r="F611" s="1">
        <v>44457</v>
      </c>
      <c r="G611" s="3">
        <v>4311</v>
      </c>
      <c r="H611" s="2">
        <v>109.28</v>
      </c>
      <c r="I611" s="2">
        <v>35.840000000000003</v>
      </c>
      <c r="J611" s="2">
        <v>471106.08</v>
      </c>
      <c r="K611" s="2">
        <v>154506.24000000002</v>
      </c>
    </row>
    <row r="612" spans="1:11" x14ac:dyDescent="0.3">
      <c r="A612" s="4" t="s">
        <v>607</v>
      </c>
      <c r="B612" s="4" t="s">
        <v>1174</v>
      </c>
      <c r="C612" s="4" t="s">
        <v>14</v>
      </c>
      <c r="D612" s="1">
        <v>44408</v>
      </c>
      <c r="E612" s="4">
        <v>516319072</v>
      </c>
      <c r="F612" s="1">
        <v>44439</v>
      </c>
      <c r="G612" s="3">
        <v>9142</v>
      </c>
      <c r="H612" s="2">
        <v>81.73</v>
      </c>
      <c r="I612" s="2">
        <v>56.67</v>
      </c>
      <c r="J612" s="2">
        <v>747175.66</v>
      </c>
      <c r="K612" s="2">
        <v>518077.14</v>
      </c>
    </row>
    <row r="613" spans="1:11" x14ac:dyDescent="0.3">
      <c r="A613" s="4" t="s">
        <v>608</v>
      </c>
      <c r="B613" s="4" t="s">
        <v>1182</v>
      </c>
      <c r="C613" s="4" t="s">
        <v>17</v>
      </c>
      <c r="D613" s="1">
        <v>43961</v>
      </c>
      <c r="E613" s="4">
        <v>528205335</v>
      </c>
      <c r="F613" s="1">
        <v>44006</v>
      </c>
      <c r="G613" s="3">
        <v>6551</v>
      </c>
      <c r="H613" s="2">
        <v>668.27</v>
      </c>
      <c r="I613" s="2">
        <v>502.54</v>
      </c>
      <c r="J613" s="2">
        <v>4377836.7699999996</v>
      </c>
      <c r="K613" s="2">
        <v>3292139.54</v>
      </c>
    </row>
    <row r="614" spans="1:11" x14ac:dyDescent="0.3">
      <c r="A614" s="4" t="s">
        <v>609</v>
      </c>
      <c r="B614" s="4" t="s">
        <v>1176</v>
      </c>
      <c r="C614" s="4" t="s">
        <v>19</v>
      </c>
      <c r="D614" s="1">
        <v>44792</v>
      </c>
      <c r="E614" s="4">
        <v>175304305</v>
      </c>
      <c r="F614" s="1">
        <v>44822</v>
      </c>
      <c r="G614" s="3">
        <v>5294</v>
      </c>
      <c r="H614" s="2">
        <v>651.21</v>
      </c>
      <c r="I614" s="2">
        <v>524.96</v>
      </c>
      <c r="J614" s="2">
        <v>3447505.74</v>
      </c>
      <c r="K614" s="2">
        <v>2779138.24</v>
      </c>
    </row>
    <row r="615" spans="1:11" x14ac:dyDescent="0.3">
      <c r="A615" s="4" t="s">
        <v>610</v>
      </c>
      <c r="B615" s="4" t="s">
        <v>1170</v>
      </c>
      <c r="C615" s="4" t="s">
        <v>17</v>
      </c>
      <c r="D615" s="1">
        <v>44558</v>
      </c>
      <c r="E615" s="4">
        <v>565477311</v>
      </c>
      <c r="F615" s="1">
        <v>44583</v>
      </c>
      <c r="G615" s="3">
        <v>6157</v>
      </c>
      <c r="H615" s="2">
        <v>47.45</v>
      </c>
      <c r="I615" s="2">
        <v>31.79</v>
      </c>
      <c r="J615" s="2">
        <v>292149.65000000002</v>
      </c>
      <c r="K615" s="2">
        <v>195731.03</v>
      </c>
    </row>
    <row r="616" spans="1:11" x14ac:dyDescent="0.3">
      <c r="A616" s="4" t="s">
        <v>611</v>
      </c>
      <c r="B616" s="4" t="s">
        <v>1162</v>
      </c>
      <c r="C616" s="4" t="s">
        <v>19</v>
      </c>
      <c r="D616" s="1">
        <v>44717</v>
      </c>
      <c r="E616" s="4">
        <v>176898181</v>
      </c>
      <c r="F616" s="1">
        <v>44728</v>
      </c>
      <c r="G616" s="3">
        <v>6958</v>
      </c>
      <c r="H616" s="2">
        <v>421.89</v>
      </c>
      <c r="I616" s="2">
        <v>364.69</v>
      </c>
      <c r="J616" s="2">
        <v>2935510.62</v>
      </c>
      <c r="K616" s="2">
        <v>2537513.02</v>
      </c>
    </row>
    <row r="617" spans="1:11" x14ac:dyDescent="0.3">
      <c r="A617" s="4" t="s">
        <v>612</v>
      </c>
      <c r="B617" s="4" t="s">
        <v>1164</v>
      </c>
      <c r="C617" s="4" t="s">
        <v>19</v>
      </c>
      <c r="D617" s="1">
        <v>44787</v>
      </c>
      <c r="E617" s="4">
        <v>708053243</v>
      </c>
      <c r="F617" s="1">
        <v>44816</v>
      </c>
      <c r="G617" s="3">
        <v>7544</v>
      </c>
      <c r="H617" s="2">
        <v>205.7</v>
      </c>
      <c r="I617" s="2">
        <v>117.11</v>
      </c>
      <c r="J617" s="2">
        <v>1551800.7999999998</v>
      </c>
      <c r="K617" s="2">
        <v>883477.84</v>
      </c>
    </row>
    <row r="618" spans="1:11" x14ac:dyDescent="0.3">
      <c r="A618" s="4" t="s">
        <v>613</v>
      </c>
      <c r="B618" s="4" t="s">
        <v>1160</v>
      </c>
      <c r="C618" s="4" t="s">
        <v>14</v>
      </c>
      <c r="D618" s="1">
        <v>43910</v>
      </c>
      <c r="E618" s="4">
        <v>327741324</v>
      </c>
      <c r="F618" s="1">
        <v>43919</v>
      </c>
      <c r="G618" s="3">
        <v>4796</v>
      </c>
      <c r="H618" s="2">
        <v>152.58000000000001</v>
      </c>
      <c r="I618" s="2">
        <v>97.44</v>
      </c>
      <c r="J618" s="2">
        <v>731773.68</v>
      </c>
      <c r="K618" s="2">
        <v>467322.24</v>
      </c>
    </row>
    <row r="619" spans="1:11" x14ac:dyDescent="0.3">
      <c r="A619" s="4" t="s">
        <v>614</v>
      </c>
      <c r="B619" s="4" t="s">
        <v>1174</v>
      </c>
      <c r="C619" s="4" t="s">
        <v>19</v>
      </c>
      <c r="D619" s="1">
        <v>44507</v>
      </c>
      <c r="E619" s="4">
        <v>425073754</v>
      </c>
      <c r="F619" s="1">
        <v>44552</v>
      </c>
      <c r="G619" s="3">
        <v>7625</v>
      </c>
      <c r="H619" s="2">
        <v>81.73</v>
      </c>
      <c r="I619" s="2">
        <v>56.67</v>
      </c>
      <c r="J619" s="2">
        <v>623191.25</v>
      </c>
      <c r="K619" s="2">
        <v>432108.75</v>
      </c>
    </row>
    <row r="620" spans="1:11" x14ac:dyDescent="0.3">
      <c r="A620" s="4" t="s">
        <v>615</v>
      </c>
      <c r="B620" s="4" t="s">
        <v>1166</v>
      </c>
      <c r="C620" s="4" t="s">
        <v>17</v>
      </c>
      <c r="D620" s="1">
        <v>44447</v>
      </c>
      <c r="E620" s="4">
        <v>659474360</v>
      </c>
      <c r="F620" s="1">
        <v>44464</v>
      </c>
      <c r="G620" s="3">
        <v>1973</v>
      </c>
      <c r="H620" s="2">
        <v>9.33</v>
      </c>
      <c r="I620" s="2">
        <v>6.92</v>
      </c>
      <c r="J620" s="2">
        <v>18408.09</v>
      </c>
      <c r="K620" s="2">
        <v>13653.16</v>
      </c>
    </row>
    <row r="621" spans="1:11" x14ac:dyDescent="0.3">
      <c r="A621" s="4" t="s">
        <v>616</v>
      </c>
      <c r="B621" s="4" t="s">
        <v>1162</v>
      </c>
      <c r="C621" s="4" t="s">
        <v>19</v>
      </c>
      <c r="D621" s="1">
        <v>43835</v>
      </c>
      <c r="E621" s="4">
        <v>310679471</v>
      </c>
      <c r="F621" s="1">
        <v>43857</v>
      </c>
      <c r="G621" s="3">
        <v>5814</v>
      </c>
      <c r="H621" s="2">
        <v>421.89</v>
      </c>
      <c r="I621" s="2">
        <v>364.69</v>
      </c>
      <c r="J621" s="2">
        <v>2452868.46</v>
      </c>
      <c r="K621" s="2">
        <v>2120307.66</v>
      </c>
    </row>
    <row r="622" spans="1:11" x14ac:dyDescent="0.3">
      <c r="A622" s="4" t="s">
        <v>617</v>
      </c>
      <c r="B622" s="4" t="s">
        <v>1172</v>
      </c>
      <c r="C622" s="4" t="s">
        <v>12</v>
      </c>
      <c r="D622" s="1">
        <v>44488</v>
      </c>
      <c r="E622" s="4">
        <v>528737914</v>
      </c>
      <c r="F622" s="1">
        <v>44531</v>
      </c>
      <c r="G622" s="3">
        <v>4153</v>
      </c>
      <c r="H622" s="2">
        <v>437.2</v>
      </c>
      <c r="I622" s="2">
        <v>263.33</v>
      </c>
      <c r="J622" s="2">
        <v>1815691.5999999999</v>
      </c>
      <c r="K622" s="2">
        <v>1093609.49</v>
      </c>
    </row>
    <row r="623" spans="1:11" x14ac:dyDescent="0.3">
      <c r="A623" s="4" t="s">
        <v>589</v>
      </c>
      <c r="B623" s="4" t="s">
        <v>1160</v>
      </c>
      <c r="C623" s="4" t="s">
        <v>14</v>
      </c>
      <c r="D623" s="1">
        <v>44195</v>
      </c>
      <c r="E623" s="4">
        <v>284011018</v>
      </c>
      <c r="F623" s="1">
        <v>44221</v>
      </c>
      <c r="G623" s="3">
        <v>4026</v>
      </c>
      <c r="H623" s="2">
        <v>152.58000000000001</v>
      </c>
      <c r="I623" s="2">
        <v>97.44</v>
      </c>
      <c r="J623" s="2">
        <v>614287.08000000007</v>
      </c>
      <c r="K623" s="2">
        <v>392293.44</v>
      </c>
    </row>
    <row r="624" spans="1:11" x14ac:dyDescent="0.3">
      <c r="A624" s="4" t="s">
        <v>618</v>
      </c>
      <c r="B624" s="4" t="s">
        <v>1168</v>
      </c>
      <c r="C624" s="4" t="s">
        <v>17</v>
      </c>
      <c r="D624" s="1">
        <v>44544</v>
      </c>
      <c r="E624" s="4">
        <v>417172610</v>
      </c>
      <c r="F624" s="1">
        <v>44549</v>
      </c>
      <c r="G624" s="3">
        <v>9501</v>
      </c>
      <c r="H624" s="2">
        <v>255.28</v>
      </c>
      <c r="I624" s="2">
        <v>159.41999999999999</v>
      </c>
      <c r="J624" s="2">
        <v>2425415.2799999998</v>
      </c>
      <c r="K624" s="2">
        <v>1514649.42</v>
      </c>
    </row>
    <row r="625" spans="1:11" x14ac:dyDescent="0.3">
      <c r="A625" s="4" t="s">
        <v>619</v>
      </c>
      <c r="B625" s="4" t="s">
        <v>1172</v>
      </c>
      <c r="C625" s="4" t="s">
        <v>12</v>
      </c>
      <c r="D625" s="1">
        <v>44139</v>
      </c>
      <c r="E625" s="4">
        <v>489209020</v>
      </c>
      <c r="F625" s="1">
        <v>44170</v>
      </c>
      <c r="G625" s="3">
        <v>6675</v>
      </c>
      <c r="H625" s="2">
        <v>437.2</v>
      </c>
      <c r="I625" s="2">
        <v>263.33</v>
      </c>
      <c r="J625" s="2">
        <v>2918310</v>
      </c>
      <c r="K625" s="2">
        <v>1757727.75</v>
      </c>
    </row>
    <row r="626" spans="1:11" x14ac:dyDescent="0.3">
      <c r="A626" s="4" t="s">
        <v>620</v>
      </c>
      <c r="B626" s="4" t="s">
        <v>1182</v>
      </c>
      <c r="C626" s="4" t="s">
        <v>17</v>
      </c>
      <c r="D626" s="1">
        <v>44341</v>
      </c>
      <c r="E626" s="4">
        <v>131419074</v>
      </c>
      <c r="F626" s="1">
        <v>44380</v>
      </c>
      <c r="G626" s="3">
        <v>8679</v>
      </c>
      <c r="H626" s="2">
        <v>668.27</v>
      </c>
      <c r="I626" s="2">
        <v>502.54</v>
      </c>
      <c r="J626" s="2">
        <v>5799915.3300000001</v>
      </c>
      <c r="K626" s="2">
        <v>4361544.66</v>
      </c>
    </row>
    <row r="627" spans="1:11" x14ac:dyDescent="0.3">
      <c r="A627" s="4" t="s">
        <v>621</v>
      </c>
      <c r="B627" s="4" t="s">
        <v>1170</v>
      </c>
      <c r="C627" s="4" t="s">
        <v>12</v>
      </c>
      <c r="D627" s="1">
        <v>44568</v>
      </c>
      <c r="E627" s="4">
        <v>395414102</v>
      </c>
      <c r="F627" s="1">
        <v>44596</v>
      </c>
      <c r="G627" s="3">
        <v>674</v>
      </c>
      <c r="H627" s="2">
        <v>47.45</v>
      </c>
      <c r="I627" s="2">
        <v>31.79</v>
      </c>
      <c r="J627" s="2">
        <v>31981.300000000003</v>
      </c>
      <c r="K627" s="2">
        <v>21426.46</v>
      </c>
    </row>
    <row r="628" spans="1:11" x14ac:dyDescent="0.3">
      <c r="A628" s="4" t="s">
        <v>622</v>
      </c>
      <c r="B628" s="4" t="s">
        <v>1164</v>
      </c>
      <c r="C628" s="4" t="s">
        <v>17</v>
      </c>
      <c r="D628" s="1">
        <v>43866</v>
      </c>
      <c r="E628" s="4">
        <v>603117930</v>
      </c>
      <c r="F628" s="1">
        <v>43902</v>
      </c>
      <c r="G628" s="3">
        <v>4853</v>
      </c>
      <c r="H628" s="2">
        <v>205.7</v>
      </c>
      <c r="I628" s="2">
        <v>117.11</v>
      </c>
      <c r="J628" s="2">
        <v>998262.1</v>
      </c>
      <c r="K628" s="2">
        <v>568334.82999999996</v>
      </c>
    </row>
    <row r="629" spans="1:11" x14ac:dyDescent="0.3">
      <c r="A629" s="4" t="s">
        <v>623</v>
      </c>
      <c r="B629" s="4" t="s">
        <v>1166</v>
      </c>
      <c r="C629" s="4" t="s">
        <v>17</v>
      </c>
      <c r="D629" s="1">
        <v>44557</v>
      </c>
      <c r="E629" s="4">
        <v>596766889</v>
      </c>
      <c r="F629" s="1">
        <v>44572</v>
      </c>
      <c r="G629" s="3">
        <v>5439</v>
      </c>
      <c r="H629" s="2">
        <v>9.33</v>
      </c>
      <c r="I629" s="2">
        <v>6.92</v>
      </c>
      <c r="J629" s="2">
        <v>50745.87</v>
      </c>
      <c r="K629" s="2">
        <v>37637.879999999997</v>
      </c>
    </row>
    <row r="630" spans="1:11" x14ac:dyDescent="0.3">
      <c r="A630" s="4" t="s">
        <v>624</v>
      </c>
      <c r="B630" s="4" t="s">
        <v>1174</v>
      </c>
      <c r="C630" s="4" t="s">
        <v>19</v>
      </c>
      <c r="D630" s="1">
        <v>44414</v>
      </c>
      <c r="E630" s="4">
        <v>288909804</v>
      </c>
      <c r="F630" s="1">
        <v>44418</v>
      </c>
      <c r="G630" s="3">
        <v>3686</v>
      </c>
      <c r="H630" s="2">
        <v>81.73</v>
      </c>
      <c r="I630" s="2">
        <v>56.67</v>
      </c>
      <c r="J630" s="2">
        <v>301256.78000000003</v>
      </c>
      <c r="K630" s="2">
        <v>208885.62</v>
      </c>
    </row>
    <row r="631" spans="1:11" x14ac:dyDescent="0.3">
      <c r="A631" s="4" t="s">
        <v>625</v>
      </c>
      <c r="B631" s="4" t="s">
        <v>1164</v>
      </c>
      <c r="C631" s="4" t="s">
        <v>19</v>
      </c>
      <c r="D631" s="1">
        <v>44485</v>
      </c>
      <c r="E631" s="4">
        <v>112408006</v>
      </c>
      <c r="F631" s="1">
        <v>44492</v>
      </c>
      <c r="G631" s="3">
        <v>2882</v>
      </c>
      <c r="H631" s="2">
        <v>205.7</v>
      </c>
      <c r="I631" s="2">
        <v>117.11</v>
      </c>
      <c r="J631" s="2">
        <v>592827.4</v>
      </c>
      <c r="K631" s="2">
        <v>337511.02</v>
      </c>
    </row>
    <row r="632" spans="1:11" x14ac:dyDescent="0.3">
      <c r="A632" s="4" t="s">
        <v>626</v>
      </c>
      <c r="B632" s="4" t="s">
        <v>1174</v>
      </c>
      <c r="C632" s="4" t="s">
        <v>12</v>
      </c>
      <c r="D632" s="1">
        <v>44404</v>
      </c>
      <c r="E632" s="4">
        <v>570435321</v>
      </c>
      <c r="F632" s="1">
        <v>44419</v>
      </c>
      <c r="G632" s="3">
        <v>3343</v>
      </c>
      <c r="H632" s="2">
        <v>81.73</v>
      </c>
      <c r="I632" s="2">
        <v>56.67</v>
      </c>
      <c r="J632" s="2">
        <v>273223.39</v>
      </c>
      <c r="K632" s="2">
        <v>189447.81</v>
      </c>
    </row>
    <row r="633" spans="1:11" x14ac:dyDescent="0.3">
      <c r="A633" s="4" t="s">
        <v>627</v>
      </c>
      <c r="B633" s="4" t="s">
        <v>1168</v>
      </c>
      <c r="C633" s="4" t="s">
        <v>12</v>
      </c>
      <c r="D633" s="1">
        <v>43949</v>
      </c>
      <c r="E633" s="4">
        <v>886478078</v>
      </c>
      <c r="F633" s="1">
        <v>43980</v>
      </c>
      <c r="G633" s="3">
        <v>7418</v>
      </c>
      <c r="H633" s="2">
        <v>255.28</v>
      </c>
      <c r="I633" s="2">
        <v>159.41999999999999</v>
      </c>
      <c r="J633" s="2">
        <v>1893667.04</v>
      </c>
      <c r="K633" s="2">
        <v>1182577.5599999998</v>
      </c>
    </row>
    <row r="634" spans="1:11" x14ac:dyDescent="0.3">
      <c r="A634" s="4" t="s">
        <v>628</v>
      </c>
      <c r="B634" s="4" t="s">
        <v>1164</v>
      </c>
      <c r="C634" s="4" t="s">
        <v>14</v>
      </c>
      <c r="D634" s="1">
        <v>44609</v>
      </c>
      <c r="E634" s="4">
        <v>354335105</v>
      </c>
      <c r="F634" s="1">
        <v>44658</v>
      </c>
      <c r="G634" s="3">
        <v>4487</v>
      </c>
      <c r="H634" s="2">
        <v>205.7</v>
      </c>
      <c r="I634" s="2">
        <v>117.11</v>
      </c>
      <c r="J634" s="2">
        <v>922975.89999999991</v>
      </c>
      <c r="K634" s="2">
        <v>525472.56999999995</v>
      </c>
    </row>
    <row r="635" spans="1:11" x14ac:dyDescent="0.3">
      <c r="A635" s="4" t="s">
        <v>629</v>
      </c>
      <c r="B635" s="4" t="s">
        <v>1162</v>
      </c>
      <c r="C635" s="4" t="s">
        <v>12</v>
      </c>
      <c r="D635" s="1">
        <v>43848</v>
      </c>
      <c r="E635" s="4">
        <v>588117730</v>
      </c>
      <c r="F635" s="1">
        <v>43872</v>
      </c>
      <c r="G635" s="3">
        <v>5960</v>
      </c>
      <c r="H635" s="2">
        <v>421.89</v>
      </c>
      <c r="I635" s="2">
        <v>364.69</v>
      </c>
      <c r="J635" s="2">
        <v>2514464.4</v>
      </c>
      <c r="K635" s="2">
        <v>2173552.4</v>
      </c>
    </row>
    <row r="636" spans="1:11" x14ac:dyDescent="0.3">
      <c r="A636" s="4" t="s">
        <v>630</v>
      </c>
      <c r="B636" s="4" t="s">
        <v>1170</v>
      </c>
      <c r="C636" s="4" t="s">
        <v>12</v>
      </c>
      <c r="D636" s="1">
        <v>43972</v>
      </c>
      <c r="E636" s="4">
        <v>572249782</v>
      </c>
      <c r="F636" s="1">
        <v>43972</v>
      </c>
      <c r="G636" s="3">
        <v>282</v>
      </c>
      <c r="H636" s="2">
        <v>47.45</v>
      </c>
      <c r="I636" s="2">
        <v>31.79</v>
      </c>
      <c r="J636" s="2">
        <v>13380.900000000001</v>
      </c>
      <c r="K636" s="2">
        <v>8964.7800000000007</v>
      </c>
    </row>
    <row r="637" spans="1:11" x14ac:dyDescent="0.3">
      <c r="A637" s="4" t="s">
        <v>631</v>
      </c>
      <c r="B637" s="4" t="s">
        <v>1182</v>
      </c>
      <c r="C637" s="4" t="s">
        <v>17</v>
      </c>
      <c r="D637" s="1">
        <v>44302</v>
      </c>
      <c r="E637" s="4">
        <v>711467587</v>
      </c>
      <c r="F637" s="1">
        <v>44339</v>
      </c>
      <c r="G637" s="3">
        <v>7924</v>
      </c>
      <c r="H637" s="2">
        <v>668.27</v>
      </c>
      <c r="I637" s="2">
        <v>502.54</v>
      </c>
      <c r="J637" s="2">
        <v>5295371.4799999995</v>
      </c>
      <c r="K637" s="2">
        <v>3982126.96</v>
      </c>
    </row>
    <row r="638" spans="1:11" x14ac:dyDescent="0.3">
      <c r="A638" s="4" t="s">
        <v>632</v>
      </c>
      <c r="B638" s="4" t="s">
        <v>1176</v>
      </c>
      <c r="C638" s="4" t="s">
        <v>12</v>
      </c>
      <c r="D638" s="1">
        <v>44830</v>
      </c>
      <c r="E638" s="4">
        <v>580819976</v>
      </c>
      <c r="F638" s="1">
        <v>44858</v>
      </c>
      <c r="G638" s="3">
        <v>6393</v>
      </c>
      <c r="H638" s="2">
        <v>651.21</v>
      </c>
      <c r="I638" s="2">
        <v>524.96</v>
      </c>
      <c r="J638" s="2">
        <v>4163185.5300000003</v>
      </c>
      <c r="K638" s="2">
        <v>3356069.2800000003</v>
      </c>
    </row>
    <row r="639" spans="1:11" x14ac:dyDescent="0.3">
      <c r="A639" s="4" t="s">
        <v>633</v>
      </c>
      <c r="B639" s="4" t="s">
        <v>1176</v>
      </c>
      <c r="C639" s="4" t="s">
        <v>19</v>
      </c>
      <c r="D639" s="1">
        <v>44647</v>
      </c>
      <c r="E639" s="4">
        <v>275668275</v>
      </c>
      <c r="F639" s="1">
        <v>44681</v>
      </c>
      <c r="G639" s="3">
        <v>5223</v>
      </c>
      <c r="H639" s="2">
        <v>651.21</v>
      </c>
      <c r="I639" s="2">
        <v>524.96</v>
      </c>
      <c r="J639" s="2">
        <v>3401269.83</v>
      </c>
      <c r="K639" s="2">
        <v>2741866.08</v>
      </c>
    </row>
    <row r="640" spans="1:11" x14ac:dyDescent="0.3">
      <c r="A640" s="4" t="s">
        <v>634</v>
      </c>
      <c r="B640" s="4" t="s">
        <v>1164</v>
      </c>
      <c r="C640" s="4" t="s">
        <v>14</v>
      </c>
      <c r="D640" s="1">
        <v>44560</v>
      </c>
      <c r="E640" s="4">
        <v>861686313</v>
      </c>
      <c r="F640" s="1">
        <v>44560</v>
      </c>
      <c r="G640" s="3">
        <v>983</v>
      </c>
      <c r="H640" s="2">
        <v>205.7</v>
      </c>
      <c r="I640" s="2">
        <v>117.11</v>
      </c>
      <c r="J640" s="2">
        <v>202203.09999999998</v>
      </c>
      <c r="K640" s="2">
        <v>115119.13</v>
      </c>
    </row>
    <row r="641" spans="1:11" x14ac:dyDescent="0.3">
      <c r="A641" s="4" t="s">
        <v>635</v>
      </c>
      <c r="B641" s="4" t="s">
        <v>1162</v>
      </c>
      <c r="C641" s="4" t="s">
        <v>12</v>
      </c>
      <c r="D641" s="1">
        <v>44477</v>
      </c>
      <c r="E641" s="4">
        <v>324860417</v>
      </c>
      <c r="F641" s="1">
        <v>44518</v>
      </c>
      <c r="G641" s="3">
        <v>2271</v>
      </c>
      <c r="H641" s="2">
        <v>421.89</v>
      </c>
      <c r="I641" s="2">
        <v>364.69</v>
      </c>
      <c r="J641" s="2">
        <v>958112.19</v>
      </c>
      <c r="K641" s="2">
        <v>828210.99</v>
      </c>
    </row>
    <row r="642" spans="1:11" x14ac:dyDescent="0.3">
      <c r="A642" s="4" t="s">
        <v>636</v>
      </c>
      <c r="B642" s="4" t="s">
        <v>1160</v>
      </c>
      <c r="C642" s="4" t="s">
        <v>12</v>
      </c>
      <c r="D642" s="1">
        <v>43933</v>
      </c>
      <c r="E642" s="4">
        <v>321489417</v>
      </c>
      <c r="F642" s="1">
        <v>43934</v>
      </c>
      <c r="G642" s="3">
        <v>4718</v>
      </c>
      <c r="H642" s="2">
        <v>152.58000000000001</v>
      </c>
      <c r="I642" s="2">
        <v>97.44</v>
      </c>
      <c r="J642" s="2">
        <v>719872.44000000006</v>
      </c>
      <c r="K642" s="2">
        <v>459721.92</v>
      </c>
    </row>
    <row r="643" spans="1:11" x14ac:dyDescent="0.3">
      <c r="A643" s="4" t="s">
        <v>637</v>
      </c>
      <c r="B643" s="4" t="s">
        <v>1172</v>
      </c>
      <c r="C643" s="4" t="s">
        <v>17</v>
      </c>
      <c r="D643" s="1">
        <v>44695</v>
      </c>
      <c r="E643" s="4">
        <v>328184640</v>
      </c>
      <c r="F643" s="1">
        <v>44741</v>
      </c>
      <c r="G643" s="3">
        <v>5983</v>
      </c>
      <c r="H643" s="2">
        <v>437.2</v>
      </c>
      <c r="I643" s="2">
        <v>263.33</v>
      </c>
      <c r="J643" s="2">
        <v>2615767.6</v>
      </c>
      <c r="K643" s="2">
        <v>1575503.39</v>
      </c>
    </row>
    <row r="644" spans="1:11" x14ac:dyDescent="0.3">
      <c r="A644" s="4" t="s">
        <v>638</v>
      </c>
      <c r="B644" s="4" t="s">
        <v>1176</v>
      </c>
      <c r="C644" s="4" t="s">
        <v>17</v>
      </c>
      <c r="D644" s="1">
        <v>43981</v>
      </c>
      <c r="E644" s="4">
        <v>791869914</v>
      </c>
      <c r="F644" s="1">
        <v>44004</v>
      </c>
      <c r="G644" s="3">
        <v>760</v>
      </c>
      <c r="H644" s="2">
        <v>651.21</v>
      </c>
      <c r="I644" s="2">
        <v>524.96</v>
      </c>
      <c r="J644" s="2">
        <v>494919.60000000003</v>
      </c>
      <c r="K644" s="2">
        <v>398969.60000000003</v>
      </c>
    </row>
    <row r="645" spans="1:11" x14ac:dyDescent="0.3">
      <c r="A645" s="4" t="s">
        <v>639</v>
      </c>
      <c r="B645" s="4" t="s">
        <v>1174</v>
      </c>
      <c r="C645" s="4" t="s">
        <v>19</v>
      </c>
      <c r="D645" s="1">
        <v>44375</v>
      </c>
      <c r="E645" s="4">
        <v>879781568</v>
      </c>
      <c r="F645" s="1">
        <v>44425</v>
      </c>
      <c r="G645" s="3">
        <v>5771</v>
      </c>
      <c r="H645" s="2">
        <v>81.73</v>
      </c>
      <c r="I645" s="2">
        <v>56.67</v>
      </c>
      <c r="J645" s="2">
        <v>471663.83</v>
      </c>
      <c r="K645" s="2">
        <v>327042.57</v>
      </c>
    </row>
    <row r="646" spans="1:11" x14ac:dyDescent="0.3">
      <c r="A646" s="4" t="s">
        <v>640</v>
      </c>
      <c r="B646" s="4" t="s">
        <v>1162</v>
      </c>
      <c r="C646" s="4" t="s">
        <v>12</v>
      </c>
      <c r="D646" s="1">
        <v>43909</v>
      </c>
      <c r="E646" s="4">
        <v>729468429</v>
      </c>
      <c r="F646" s="1">
        <v>43934</v>
      </c>
      <c r="G646" s="3">
        <v>4773</v>
      </c>
      <c r="H646" s="2">
        <v>421.89</v>
      </c>
      <c r="I646" s="2">
        <v>364.69</v>
      </c>
      <c r="J646" s="2">
        <v>2013680.97</v>
      </c>
      <c r="K646" s="2">
        <v>1740665.3699999999</v>
      </c>
    </row>
    <row r="647" spans="1:11" x14ac:dyDescent="0.3">
      <c r="A647" s="4" t="s">
        <v>641</v>
      </c>
      <c r="B647" s="4" t="s">
        <v>1180</v>
      </c>
      <c r="C647" s="4" t="s">
        <v>14</v>
      </c>
      <c r="D647" s="1">
        <v>43895</v>
      </c>
      <c r="E647" s="4">
        <v>998791825</v>
      </c>
      <c r="F647" s="1">
        <v>43911</v>
      </c>
      <c r="G647" s="3">
        <v>3551</v>
      </c>
      <c r="H647" s="2">
        <v>109.28</v>
      </c>
      <c r="I647" s="2">
        <v>35.840000000000003</v>
      </c>
      <c r="J647" s="2">
        <v>388053.28</v>
      </c>
      <c r="K647" s="2">
        <v>127267.84000000001</v>
      </c>
    </row>
    <row r="648" spans="1:11" x14ac:dyDescent="0.3">
      <c r="A648" s="4" t="s">
        <v>642</v>
      </c>
      <c r="B648" s="4" t="s">
        <v>1172</v>
      </c>
      <c r="C648" s="4" t="s">
        <v>14</v>
      </c>
      <c r="D648" s="1">
        <v>44226</v>
      </c>
      <c r="E648" s="4">
        <v>615925586</v>
      </c>
      <c r="F648" s="1">
        <v>44252</v>
      </c>
      <c r="G648" s="3">
        <v>4923</v>
      </c>
      <c r="H648" s="2">
        <v>437.2</v>
      </c>
      <c r="I648" s="2">
        <v>263.33</v>
      </c>
      <c r="J648" s="2">
        <v>2152335.6</v>
      </c>
      <c r="K648" s="2">
        <v>1296373.5899999999</v>
      </c>
    </row>
    <row r="649" spans="1:11" x14ac:dyDescent="0.3">
      <c r="A649" s="4" t="s">
        <v>643</v>
      </c>
      <c r="B649" s="4" t="s">
        <v>1166</v>
      </c>
      <c r="C649" s="4" t="s">
        <v>17</v>
      </c>
      <c r="D649" s="1">
        <v>43897</v>
      </c>
      <c r="E649" s="4">
        <v>829356038</v>
      </c>
      <c r="F649" s="1">
        <v>43919</v>
      </c>
      <c r="G649" s="3">
        <v>3737</v>
      </c>
      <c r="H649" s="2">
        <v>9.33</v>
      </c>
      <c r="I649" s="2">
        <v>6.92</v>
      </c>
      <c r="J649" s="2">
        <v>34866.21</v>
      </c>
      <c r="K649" s="2">
        <v>25860.04</v>
      </c>
    </row>
    <row r="650" spans="1:11" x14ac:dyDescent="0.3">
      <c r="A650" s="4" t="s">
        <v>644</v>
      </c>
      <c r="B650" s="4" t="s">
        <v>1174</v>
      </c>
      <c r="C650" s="4" t="s">
        <v>14</v>
      </c>
      <c r="D650" s="1">
        <v>44660</v>
      </c>
      <c r="E650" s="4">
        <v>257882010</v>
      </c>
      <c r="F650" s="1">
        <v>44668</v>
      </c>
      <c r="G650" s="3">
        <v>1872</v>
      </c>
      <c r="H650" s="2">
        <v>81.73</v>
      </c>
      <c r="I650" s="2">
        <v>56.67</v>
      </c>
      <c r="J650" s="2">
        <v>152998.56</v>
      </c>
      <c r="K650" s="2">
        <v>106086.24</v>
      </c>
    </row>
    <row r="651" spans="1:11" x14ac:dyDescent="0.3">
      <c r="A651" s="4" t="s">
        <v>645</v>
      </c>
      <c r="B651" s="4" t="s">
        <v>1162</v>
      </c>
      <c r="C651" s="4" t="s">
        <v>17</v>
      </c>
      <c r="D651" s="1">
        <v>44238</v>
      </c>
      <c r="E651" s="4">
        <v>740614831</v>
      </c>
      <c r="F651" s="1">
        <v>44242</v>
      </c>
      <c r="G651" s="3">
        <v>3241</v>
      </c>
      <c r="H651" s="2">
        <v>421.89</v>
      </c>
      <c r="I651" s="2">
        <v>364.69</v>
      </c>
      <c r="J651" s="2">
        <v>1367345.49</v>
      </c>
      <c r="K651" s="2">
        <v>1181960.29</v>
      </c>
    </row>
    <row r="652" spans="1:11" x14ac:dyDescent="0.3">
      <c r="A652" s="4" t="s">
        <v>646</v>
      </c>
      <c r="B652" s="4" t="s">
        <v>1162</v>
      </c>
      <c r="C652" s="4" t="s">
        <v>12</v>
      </c>
      <c r="D652" s="1">
        <v>44154</v>
      </c>
      <c r="E652" s="4">
        <v>586978328</v>
      </c>
      <c r="F652" s="1">
        <v>44171</v>
      </c>
      <c r="G652" s="3">
        <v>8786</v>
      </c>
      <c r="H652" s="2">
        <v>421.89</v>
      </c>
      <c r="I652" s="2">
        <v>364.69</v>
      </c>
      <c r="J652" s="2">
        <v>3706725.54</v>
      </c>
      <c r="K652" s="2">
        <v>3204166.34</v>
      </c>
    </row>
    <row r="653" spans="1:11" x14ac:dyDescent="0.3">
      <c r="A653" s="4" t="s">
        <v>647</v>
      </c>
      <c r="B653" s="4" t="s">
        <v>1182</v>
      </c>
      <c r="C653" s="4" t="s">
        <v>19</v>
      </c>
      <c r="D653" s="1">
        <v>43991</v>
      </c>
      <c r="E653" s="4">
        <v>426708829</v>
      </c>
      <c r="F653" s="1">
        <v>44007</v>
      </c>
      <c r="G653" s="3">
        <v>1480</v>
      </c>
      <c r="H653" s="2">
        <v>668.27</v>
      </c>
      <c r="I653" s="2">
        <v>502.54</v>
      </c>
      <c r="J653" s="2">
        <v>989039.6</v>
      </c>
      <c r="K653" s="2">
        <v>743759.20000000007</v>
      </c>
    </row>
    <row r="654" spans="1:11" x14ac:dyDescent="0.3">
      <c r="A654" s="4" t="s">
        <v>648</v>
      </c>
      <c r="B654" s="4" t="s">
        <v>1176</v>
      </c>
      <c r="C654" s="4" t="s">
        <v>17</v>
      </c>
      <c r="D654" s="1">
        <v>44001</v>
      </c>
      <c r="E654" s="4">
        <v>959855163</v>
      </c>
      <c r="F654" s="1">
        <v>44010</v>
      </c>
      <c r="G654" s="3">
        <v>1328</v>
      </c>
      <c r="H654" s="2">
        <v>651.21</v>
      </c>
      <c r="I654" s="2">
        <v>524.96</v>
      </c>
      <c r="J654" s="2">
        <v>864806.88</v>
      </c>
      <c r="K654" s="2">
        <v>697146.88</v>
      </c>
    </row>
    <row r="655" spans="1:11" x14ac:dyDescent="0.3">
      <c r="A655" s="4" t="s">
        <v>429</v>
      </c>
      <c r="B655" s="4" t="s">
        <v>1182</v>
      </c>
      <c r="C655" s="4" t="s">
        <v>14</v>
      </c>
      <c r="D655" s="1">
        <v>44581</v>
      </c>
      <c r="E655" s="4">
        <v>706778657</v>
      </c>
      <c r="F655" s="1">
        <v>44599</v>
      </c>
      <c r="G655" s="3">
        <v>366</v>
      </c>
      <c r="H655" s="2">
        <v>668.27</v>
      </c>
      <c r="I655" s="2">
        <v>502.54</v>
      </c>
      <c r="J655" s="2">
        <v>244586.82</v>
      </c>
      <c r="K655" s="2">
        <v>183929.64</v>
      </c>
    </row>
    <row r="656" spans="1:11" x14ac:dyDescent="0.3">
      <c r="A656" s="4" t="s">
        <v>649</v>
      </c>
      <c r="B656" s="4" t="s">
        <v>1182</v>
      </c>
      <c r="C656" s="4" t="s">
        <v>12</v>
      </c>
      <c r="D656" s="1">
        <v>44710</v>
      </c>
      <c r="E656" s="4">
        <v>958153140</v>
      </c>
      <c r="F656" s="1">
        <v>44713</v>
      </c>
      <c r="G656" s="3">
        <v>7661</v>
      </c>
      <c r="H656" s="2">
        <v>668.27</v>
      </c>
      <c r="I656" s="2">
        <v>502.54</v>
      </c>
      <c r="J656" s="2">
        <v>5119616.47</v>
      </c>
      <c r="K656" s="2">
        <v>3849958.94</v>
      </c>
    </row>
    <row r="657" spans="1:11" x14ac:dyDescent="0.3">
      <c r="A657" s="4" t="s">
        <v>650</v>
      </c>
      <c r="B657" s="4" t="s">
        <v>1172</v>
      </c>
      <c r="C657" s="4" t="s">
        <v>12</v>
      </c>
      <c r="D657" s="1">
        <v>44558</v>
      </c>
      <c r="E657" s="4">
        <v>824964940</v>
      </c>
      <c r="F657" s="1">
        <v>44597</v>
      </c>
      <c r="G657" s="3">
        <v>4313</v>
      </c>
      <c r="H657" s="2">
        <v>437.2</v>
      </c>
      <c r="I657" s="2">
        <v>263.33</v>
      </c>
      <c r="J657" s="2">
        <v>1885643.5999999999</v>
      </c>
      <c r="K657" s="2">
        <v>1135742.29</v>
      </c>
    </row>
    <row r="658" spans="1:11" x14ac:dyDescent="0.3">
      <c r="A658" s="4" t="s">
        <v>651</v>
      </c>
      <c r="B658" s="4" t="s">
        <v>1172</v>
      </c>
      <c r="C658" s="4" t="s">
        <v>14</v>
      </c>
      <c r="D658" s="1">
        <v>43920</v>
      </c>
      <c r="E658" s="4">
        <v>388512885</v>
      </c>
      <c r="F658" s="1">
        <v>43954</v>
      </c>
      <c r="G658" s="3">
        <v>8451</v>
      </c>
      <c r="H658" s="2">
        <v>437.2</v>
      </c>
      <c r="I658" s="2">
        <v>263.33</v>
      </c>
      <c r="J658" s="2">
        <v>3694777.1999999997</v>
      </c>
      <c r="K658" s="2">
        <v>2225401.83</v>
      </c>
    </row>
    <row r="659" spans="1:11" x14ac:dyDescent="0.3">
      <c r="A659" s="4" t="s">
        <v>652</v>
      </c>
      <c r="B659" s="4" t="s">
        <v>1176</v>
      </c>
      <c r="C659" s="4" t="s">
        <v>12</v>
      </c>
      <c r="D659" s="1">
        <v>44826</v>
      </c>
      <c r="E659" s="4">
        <v>250408303</v>
      </c>
      <c r="F659" s="1">
        <v>44841</v>
      </c>
      <c r="G659" s="3">
        <v>236</v>
      </c>
      <c r="H659" s="2">
        <v>651.21</v>
      </c>
      <c r="I659" s="2">
        <v>524.96</v>
      </c>
      <c r="J659" s="2">
        <v>153685.56</v>
      </c>
      <c r="K659" s="2">
        <v>123890.56000000001</v>
      </c>
    </row>
    <row r="660" spans="1:11" x14ac:dyDescent="0.3">
      <c r="A660" s="4" t="s">
        <v>653</v>
      </c>
      <c r="B660" s="4" t="s">
        <v>1160</v>
      </c>
      <c r="C660" s="4" t="s">
        <v>12</v>
      </c>
      <c r="D660" s="1">
        <v>44752</v>
      </c>
      <c r="E660" s="4">
        <v>182575023</v>
      </c>
      <c r="F660" s="1">
        <v>44797</v>
      </c>
      <c r="G660" s="3">
        <v>6861</v>
      </c>
      <c r="H660" s="2">
        <v>152.58000000000001</v>
      </c>
      <c r="I660" s="2">
        <v>97.44</v>
      </c>
      <c r="J660" s="2">
        <v>1046851.3800000001</v>
      </c>
      <c r="K660" s="2">
        <v>668535.84</v>
      </c>
    </row>
    <row r="661" spans="1:11" x14ac:dyDescent="0.3">
      <c r="A661" s="4" t="s">
        <v>654</v>
      </c>
      <c r="B661" s="4" t="s">
        <v>1180</v>
      </c>
      <c r="C661" s="4" t="s">
        <v>12</v>
      </c>
      <c r="D661" s="1">
        <v>44457</v>
      </c>
      <c r="E661" s="4">
        <v>477249372</v>
      </c>
      <c r="F661" s="1">
        <v>44506</v>
      </c>
      <c r="G661" s="3">
        <v>7549</v>
      </c>
      <c r="H661" s="2">
        <v>109.28</v>
      </c>
      <c r="I661" s="2">
        <v>35.840000000000003</v>
      </c>
      <c r="J661" s="2">
        <v>824954.72</v>
      </c>
      <c r="K661" s="2">
        <v>270556.16000000003</v>
      </c>
    </row>
    <row r="662" spans="1:11" x14ac:dyDescent="0.3">
      <c r="A662" s="4" t="s">
        <v>655</v>
      </c>
      <c r="B662" s="4" t="s">
        <v>1164</v>
      </c>
      <c r="C662" s="4" t="s">
        <v>14</v>
      </c>
      <c r="D662" s="1">
        <v>44322</v>
      </c>
      <c r="E662" s="4">
        <v>596980178</v>
      </c>
      <c r="F662" s="1">
        <v>44364</v>
      </c>
      <c r="G662" s="3">
        <v>8556</v>
      </c>
      <c r="H662" s="2">
        <v>205.7</v>
      </c>
      <c r="I662" s="2">
        <v>117.11</v>
      </c>
      <c r="J662" s="2">
        <v>1759969.2</v>
      </c>
      <c r="K662" s="2">
        <v>1001993.16</v>
      </c>
    </row>
    <row r="663" spans="1:11" x14ac:dyDescent="0.3">
      <c r="A663" s="4" t="s">
        <v>603</v>
      </c>
      <c r="B663" s="4" t="s">
        <v>1168</v>
      </c>
      <c r="C663" s="4" t="s">
        <v>17</v>
      </c>
      <c r="D663" s="1">
        <v>43831</v>
      </c>
      <c r="E663" s="4">
        <v>524628770</v>
      </c>
      <c r="F663" s="1">
        <v>43833</v>
      </c>
      <c r="G663" s="3">
        <v>8166</v>
      </c>
      <c r="H663" s="2">
        <v>255.28</v>
      </c>
      <c r="I663" s="2">
        <v>159.41999999999999</v>
      </c>
      <c r="J663" s="2">
        <v>2084616.48</v>
      </c>
      <c r="K663" s="2">
        <v>1301823.72</v>
      </c>
    </row>
    <row r="664" spans="1:11" x14ac:dyDescent="0.3">
      <c r="A664" s="4" t="s">
        <v>656</v>
      </c>
      <c r="B664" s="4" t="s">
        <v>1172</v>
      </c>
      <c r="C664" s="4" t="s">
        <v>19</v>
      </c>
      <c r="D664" s="1">
        <v>44183</v>
      </c>
      <c r="E664" s="4">
        <v>313368976</v>
      </c>
      <c r="F664" s="1">
        <v>44229</v>
      </c>
      <c r="G664" s="3">
        <v>1698</v>
      </c>
      <c r="H664" s="2">
        <v>437.2</v>
      </c>
      <c r="I664" s="2">
        <v>263.33</v>
      </c>
      <c r="J664" s="2">
        <v>742365.6</v>
      </c>
      <c r="K664" s="2">
        <v>447134.33999999997</v>
      </c>
    </row>
    <row r="665" spans="1:11" x14ac:dyDescent="0.3">
      <c r="A665" s="4" t="s">
        <v>657</v>
      </c>
      <c r="B665" s="4" t="s">
        <v>1160</v>
      </c>
      <c r="C665" s="4" t="s">
        <v>19</v>
      </c>
      <c r="D665" s="1">
        <v>44633</v>
      </c>
      <c r="E665" s="4">
        <v>536687123</v>
      </c>
      <c r="F665" s="1">
        <v>44635</v>
      </c>
      <c r="G665" s="3">
        <v>6501</v>
      </c>
      <c r="H665" s="2">
        <v>152.58000000000001</v>
      </c>
      <c r="I665" s="2">
        <v>97.44</v>
      </c>
      <c r="J665" s="2">
        <v>991922.58000000007</v>
      </c>
      <c r="K665" s="2">
        <v>633457.43999999994</v>
      </c>
    </row>
    <row r="666" spans="1:11" x14ac:dyDescent="0.3">
      <c r="A666" s="4" t="s">
        <v>658</v>
      </c>
      <c r="B666" s="4" t="s">
        <v>1166</v>
      </c>
      <c r="C666" s="4" t="s">
        <v>19</v>
      </c>
      <c r="D666" s="1">
        <v>44063</v>
      </c>
      <c r="E666" s="4">
        <v>938382041</v>
      </c>
      <c r="F666" s="1">
        <v>44103</v>
      </c>
      <c r="G666" s="3">
        <v>6954</v>
      </c>
      <c r="H666" s="2">
        <v>9.33</v>
      </c>
      <c r="I666" s="2">
        <v>6.92</v>
      </c>
      <c r="J666" s="2">
        <v>64880.82</v>
      </c>
      <c r="K666" s="2">
        <v>48121.68</v>
      </c>
    </row>
    <row r="667" spans="1:11" x14ac:dyDescent="0.3">
      <c r="A667" s="4" t="s">
        <v>659</v>
      </c>
      <c r="B667" s="4" t="s">
        <v>1182</v>
      </c>
      <c r="C667" s="4" t="s">
        <v>17</v>
      </c>
      <c r="D667" s="1">
        <v>44632</v>
      </c>
      <c r="E667" s="4">
        <v>882565057</v>
      </c>
      <c r="F667" s="1">
        <v>44670</v>
      </c>
      <c r="G667" s="3">
        <v>9468</v>
      </c>
      <c r="H667" s="2">
        <v>668.27</v>
      </c>
      <c r="I667" s="2">
        <v>502.54</v>
      </c>
      <c r="J667" s="2">
        <v>6327180.3599999994</v>
      </c>
      <c r="K667" s="2">
        <v>4758048.72</v>
      </c>
    </row>
    <row r="668" spans="1:11" x14ac:dyDescent="0.3">
      <c r="A668" s="4" t="s">
        <v>660</v>
      </c>
      <c r="B668" s="4" t="s">
        <v>1164</v>
      </c>
      <c r="C668" s="4" t="s">
        <v>14</v>
      </c>
      <c r="D668" s="1">
        <v>43948</v>
      </c>
      <c r="E668" s="4">
        <v>703659999</v>
      </c>
      <c r="F668" s="1">
        <v>43965</v>
      </c>
      <c r="G668" s="3">
        <v>7485</v>
      </c>
      <c r="H668" s="2">
        <v>205.7</v>
      </c>
      <c r="I668" s="2">
        <v>117.11</v>
      </c>
      <c r="J668" s="2">
        <v>1539664.5</v>
      </c>
      <c r="K668" s="2">
        <v>876568.35</v>
      </c>
    </row>
    <row r="669" spans="1:11" x14ac:dyDescent="0.3">
      <c r="A669" s="4" t="s">
        <v>661</v>
      </c>
      <c r="B669" s="4" t="s">
        <v>1174</v>
      </c>
      <c r="C669" s="4" t="s">
        <v>12</v>
      </c>
      <c r="D669" s="1">
        <v>43945</v>
      </c>
      <c r="E669" s="4">
        <v>356403195</v>
      </c>
      <c r="F669" s="1">
        <v>43954</v>
      </c>
      <c r="G669" s="3">
        <v>6480</v>
      </c>
      <c r="H669" s="2">
        <v>81.73</v>
      </c>
      <c r="I669" s="2">
        <v>56.67</v>
      </c>
      <c r="J669" s="2">
        <v>529610.4</v>
      </c>
      <c r="K669" s="2">
        <v>367221.60000000003</v>
      </c>
    </row>
    <row r="670" spans="1:11" x14ac:dyDescent="0.3">
      <c r="A670" s="4" t="s">
        <v>662</v>
      </c>
      <c r="B670" s="4" t="s">
        <v>1164</v>
      </c>
      <c r="C670" s="4" t="s">
        <v>12</v>
      </c>
      <c r="D670" s="1">
        <v>44089</v>
      </c>
      <c r="E670" s="4">
        <v>765843474</v>
      </c>
      <c r="F670" s="1">
        <v>44125</v>
      </c>
      <c r="G670" s="3">
        <v>8958</v>
      </c>
      <c r="H670" s="2">
        <v>205.7</v>
      </c>
      <c r="I670" s="2">
        <v>117.11</v>
      </c>
      <c r="J670" s="2">
        <v>1842660.5999999999</v>
      </c>
      <c r="K670" s="2">
        <v>1049071.3799999999</v>
      </c>
    </row>
    <row r="671" spans="1:11" x14ac:dyDescent="0.3">
      <c r="A671" s="4" t="s">
        <v>663</v>
      </c>
      <c r="B671" s="4" t="s">
        <v>1162</v>
      </c>
      <c r="C671" s="4" t="s">
        <v>12</v>
      </c>
      <c r="D671" s="1">
        <v>43997</v>
      </c>
      <c r="E671" s="4">
        <v>677342164</v>
      </c>
      <c r="F671" s="1">
        <v>44027</v>
      </c>
      <c r="G671" s="3">
        <v>9453</v>
      </c>
      <c r="H671" s="2">
        <v>421.89</v>
      </c>
      <c r="I671" s="2">
        <v>364.69</v>
      </c>
      <c r="J671" s="2">
        <v>3988126.17</v>
      </c>
      <c r="K671" s="2">
        <v>3447414.57</v>
      </c>
    </row>
    <row r="672" spans="1:11" x14ac:dyDescent="0.3">
      <c r="A672" s="4" t="s">
        <v>664</v>
      </c>
      <c r="B672" s="4" t="s">
        <v>1182</v>
      </c>
      <c r="C672" s="4" t="s">
        <v>19</v>
      </c>
      <c r="D672" s="1">
        <v>43951</v>
      </c>
      <c r="E672" s="4">
        <v>706573092</v>
      </c>
      <c r="F672" s="1">
        <v>43966</v>
      </c>
      <c r="G672" s="3">
        <v>9535</v>
      </c>
      <c r="H672" s="2">
        <v>668.27</v>
      </c>
      <c r="I672" s="2">
        <v>502.54</v>
      </c>
      <c r="J672" s="2">
        <v>6371954.4500000002</v>
      </c>
      <c r="K672" s="2">
        <v>4791718.9000000004</v>
      </c>
    </row>
    <row r="673" spans="1:11" x14ac:dyDescent="0.3">
      <c r="A673" s="4" t="s">
        <v>665</v>
      </c>
      <c r="B673" s="4" t="s">
        <v>1164</v>
      </c>
      <c r="C673" s="4" t="s">
        <v>12</v>
      </c>
      <c r="D673" s="1">
        <v>44383</v>
      </c>
      <c r="E673" s="4">
        <v>189522588</v>
      </c>
      <c r="F673" s="1">
        <v>44409</v>
      </c>
      <c r="G673" s="3">
        <v>2800</v>
      </c>
      <c r="H673" s="2">
        <v>205.7</v>
      </c>
      <c r="I673" s="2">
        <v>117.11</v>
      </c>
      <c r="J673" s="2">
        <v>575960</v>
      </c>
      <c r="K673" s="2">
        <v>327908</v>
      </c>
    </row>
    <row r="674" spans="1:11" x14ac:dyDescent="0.3">
      <c r="A674" s="4" t="s">
        <v>266</v>
      </c>
      <c r="B674" s="4" t="s">
        <v>1182</v>
      </c>
      <c r="C674" s="4" t="s">
        <v>12</v>
      </c>
      <c r="D674" s="1">
        <v>44304</v>
      </c>
      <c r="E674" s="4">
        <v>332489478</v>
      </c>
      <c r="F674" s="1">
        <v>44342</v>
      </c>
      <c r="G674" s="3">
        <v>9880</v>
      </c>
      <c r="H674" s="2">
        <v>668.27</v>
      </c>
      <c r="I674" s="2">
        <v>502.54</v>
      </c>
      <c r="J674" s="2">
        <v>6602507.5999999996</v>
      </c>
      <c r="K674" s="2">
        <v>4965095.2</v>
      </c>
    </row>
    <row r="675" spans="1:11" x14ac:dyDescent="0.3">
      <c r="A675" s="4" t="s">
        <v>666</v>
      </c>
      <c r="B675" s="4" t="s">
        <v>1160</v>
      </c>
      <c r="C675" s="4" t="s">
        <v>19</v>
      </c>
      <c r="D675" s="1">
        <v>43916</v>
      </c>
      <c r="E675" s="4">
        <v>162085092</v>
      </c>
      <c r="F675" s="1">
        <v>43953</v>
      </c>
      <c r="G675" s="3">
        <v>3435</v>
      </c>
      <c r="H675" s="2">
        <v>152.58000000000001</v>
      </c>
      <c r="I675" s="2">
        <v>97.44</v>
      </c>
      <c r="J675" s="2">
        <v>524112.30000000005</v>
      </c>
      <c r="K675" s="2">
        <v>334706.39999999997</v>
      </c>
    </row>
    <row r="676" spans="1:11" x14ac:dyDescent="0.3">
      <c r="A676" s="4" t="s">
        <v>667</v>
      </c>
      <c r="B676" s="4" t="s">
        <v>1164</v>
      </c>
      <c r="C676" s="4" t="s">
        <v>12</v>
      </c>
      <c r="D676" s="1">
        <v>44092</v>
      </c>
      <c r="E676" s="4">
        <v>575233256</v>
      </c>
      <c r="F676" s="1">
        <v>44140</v>
      </c>
      <c r="G676" s="3">
        <v>3158</v>
      </c>
      <c r="H676" s="2">
        <v>205.7</v>
      </c>
      <c r="I676" s="2">
        <v>117.11</v>
      </c>
      <c r="J676" s="2">
        <v>649600.6</v>
      </c>
      <c r="K676" s="2">
        <v>369833.38</v>
      </c>
    </row>
    <row r="677" spans="1:11" x14ac:dyDescent="0.3">
      <c r="A677" s="4" t="s">
        <v>668</v>
      </c>
      <c r="B677" s="4" t="s">
        <v>1180</v>
      </c>
      <c r="C677" s="4" t="s">
        <v>17</v>
      </c>
      <c r="D677" s="1">
        <v>44804</v>
      </c>
      <c r="E677" s="4">
        <v>289170300</v>
      </c>
      <c r="F677" s="1">
        <v>44815</v>
      </c>
      <c r="G677" s="3">
        <v>773</v>
      </c>
      <c r="H677" s="2">
        <v>109.28</v>
      </c>
      <c r="I677" s="2">
        <v>35.840000000000003</v>
      </c>
      <c r="J677" s="2">
        <v>84473.44</v>
      </c>
      <c r="K677" s="2">
        <v>27704.320000000003</v>
      </c>
    </row>
    <row r="678" spans="1:11" x14ac:dyDescent="0.3">
      <c r="A678" s="4" t="s">
        <v>669</v>
      </c>
      <c r="B678" s="4" t="s">
        <v>1178</v>
      </c>
      <c r="C678" s="4" t="s">
        <v>14</v>
      </c>
      <c r="D678" s="1">
        <v>44608</v>
      </c>
      <c r="E678" s="4">
        <v>791445052</v>
      </c>
      <c r="F678" s="1">
        <v>44611</v>
      </c>
      <c r="G678" s="3">
        <v>5033</v>
      </c>
      <c r="H678" s="2">
        <v>154.06</v>
      </c>
      <c r="I678" s="2">
        <v>90.93</v>
      </c>
      <c r="J678" s="2">
        <v>775383.98</v>
      </c>
      <c r="K678" s="2">
        <v>457650.69000000006</v>
      </c>
    </row>
    <row r="679" spans="1:11" x14ac:dyDescent="0.3">
      <c r="A679" s="4" t="s">
        <v>205</v>
      </c>
      <c r="B679" s="4" t="s">
        <v>1160</v>
      </c>
      <c r="C679" s="4" t="s">
        <v>14</v>
      </c>
      <c r="D679" s="1">
        <v>44293</v>
      </c>
      <c r="E679" s="4">
        <v>489918839</v>
      </c>
      <c r="F679" s="1">
        <v>44307</v>
      </c>
      <c r="G679" s="3">
        <v>6727</v>
      </c>
      <c r="H679" s="2">
        <v>152.58000000000001</v>
      </c>
      <c r="I679" s="2">
        <v>97.44</v>
      </c>
      <c r="J679" s="2">
        <v>1026405.66</v>
      </c>
      <c r="K679" s="2">
        <v>655478.88</v>
      </c>
    </row>
    <row r="680" spans="1:11" x14ac:dyDescent="0.3">
      <c r="A680" s="4" t="s">
        <v>670</v>
      </c>
      <c r="B680" s="4" t="s">
        <v>1182</v>
      </c>
      <c r="C680" s="4" t="s">
        <v>17</v>
      </c>
      <c r="D680" s="1">
        <v>44274</v>
      </c>
      <c r="E680" s="4">
        <v>562765491</v>
      </c>
      <c r="F680" s="1">
        <v>44297</v>
      </c>
      <c r="G680" s="3">
        <v>3669</v>
      </c>
      <c r="H680" s="2">
        <v>668.27</v>
      </c>
      <c r="I680" s="2">
        <v>502.54</v>
      </c>
      <c r="J680" s="2">
        <v>2451882.63</v>
      </c>
      <c r="K680" s="2">
        <v>1843819.26</v>
      </c>
    </row>
    <row r="681" spans="1:11" x14ac:dyDescent="0.3">
      <c r="A681" s="4" t="s">
        <v>671</v>
      </c>
      <c r="B681" s="4" t="s">
        <v>1180</v>
      </c>
      <c r="C681" s="4" t="s">
        <v>19</v>
      </c>
      <c r="D681" s="1">
        <v>44068</v>
      </c>
      <c r="E681" s="4">
        <v>908471333</v>
      </c>
      <c r="F681" s="1">
        <v>44090</v>
      </c>
      <c r="G681" s="3">
        <v>5711</v>
      </c>
      <c r="H681" s="2">
        <v>109.28</v>
      </c>
      <c r="I681" s="2">
        <v>35.840000000000003</v>
      </c>
      <c r="J681" s="2">
        <v>624098.07999999996</v>
      </c>
      <c r="K681" s="2">
        <v>204682.24000000002</v>
      </c>
    </row>
    <row r="682" spans="1:11" x14ac:dyDescent="0.3">
      <c r="A682" s="4" t="s">
        <v>672</v>
      </c>
      <c r="B682" s="4" t="s">
        <v>1172</v>
      </c>
      <c r="C682" s="4" t="s">
        <v>12</v>
      </c>
      <c r="D682" s="1">
        <v>43861</v>
      </c>
      <c r="E682" s="4">
        <v>595835196</v>
      </c>
      <c r="F682" s="1">
        <v>43902</v>
      </c>
      <c r="G682" s="3">
        <v>9730</v>
      </c>
      <c r="H682" s="2">
        <v>437.2</v>
      </c>
      <c r="I682" s="2">
        <v>263.33</v>
      </c>
      <c r="J682" s="2">
        <v>4253956</v>
      </c>
      <c r="K682" s="2">
        <v>2562200.9</v>
      </c>
    </row>
    <row r="683" spans="1:11" x14ac:dyDescent="0.3">
      <c r="A683" s="4" t="s">
        <v>673</v>
      </c>
      <c r="B683" s="4" t="s">
        <v>1160</v>
      </c>
      <c r="C683" s="4" t="s">
        <v>14</v>
      </c>
      <c r="D683" s="1">
        <v>43985</v>
      </c>
      <c r="E683" s="4">
        <v>113968408</v>
      </c>
      <c r="F683" s="1">
        <v>44008</v>
      </c>
      <c r="G683" s="3">
        <v>4639</v>
      </c>
      <c r="H683" s="2">
        <v>152.58000000000001</v>
      </c>
      <c r="I683" s="2">
        <v>97.44</v>
      </c>
      <c r="J683" s="2">
        <v>707818.62000000011</v>
      </c>
      <c r="K683" s="2">
        <v>452024.16</v>
      </c>
    </row>
    <row r="684" spans="1:11" x14ac:dyDescent="0.3">
      <c r="A684" s="4" t="s">
        <v>674</v>
      </c>
      <c r="B684" s="4" t="s">
        <v>1174</v>
      </c>
      <c r="C684" s="4" t="s">
        <v>12</v>
      </c>
      <c r="D684" s="1">
        <v>44400</v>
      </c>
      <c r="E684" s="4">
        <v>922294795</v>
      </c>
      <c r="F684" s="1">
        <v>44450</v>
      </c>
      <c r="G684" s="3">
        <v>6380</v>
      </c>
      <c r="H684" s="2">
        <v>81.73</v>
      </c>
      <c r="I684" s="2">
        <v>56.67</v>
      </c>
      <c r="J684" s="2">
        <v>521437.4</v>
      </c>
      <c r="K684" s="2">
        <v>361554.60000000003</v>
      </c>
    </row>
    <row r="685" spans="1:11" x14ac:dyDescent="0.3">
      <c r="A685" s="4" t="s">
        <v>675</v>
      </c>
      <c r="B685" s="4" t="s">
        <v>1166</v>
      </c>
      <c r="C685" s="4" t="s">
        <v>12</v>
      </c>
      <c r="D685" s="1">
        <v>44164</v>
      </c>
      <c r="E685" s="4">
        <v>500550687</v>
      </c>
      <c r="F685" s="1">
        <v>44181</v>
      </c>
      <c r="G685" s="3">
        <v>2926</v>
      </c>
      <c r="H685" s="2">
        <v>9.33</v>
      </c>
      <c r="I685" s="2">
        <v>6.92</v>
      </c>
      <c r="J685" s="2">
        <v>27299.58</v>
      </c>
      <c r="K685" s="2">
        <v>20247.919999999998</v>
      </c>
    </row>
    <row r="686" spans="1:11" x14ac:dyDescent="0.3">
      <c r="A686" s="4" t="s">
        <v>676</v>
      </c>
      <c r="B686" s="4" t="s">
        <v>1162</v>
      </c>
      <c r="C686" s="4" t="s">
        <v>14</v>
      </c>
      <c r="D686" s="1">
        <v>44051</v>
      </c>
      <c r="E686" s="4">
        <v>898784911</v>
      </c>
      <c r="F686" s="1">
        <v>44058</v>
      </c>
      <c r="G686" s="3">
        <v>9283</v>
      </c>
      <c r="H686" s="2">
        <v>421.89</v>
      </c>
      <c r="I686" s="2">
        <v>364.69</v>
      </c>
      <c r="J686" s="2">
        <v>3916404.8699999996</v>
      </c>
      <c r="K686" s="2">
        <v>3385417.27</v>
      </c>
    </row>
    <row r="687" spans="1:11" x14ac:dyDescent="0.3">
      <c r="A687" s="4" t="s">
        <v>677</v>
      </c>
      <c r="B687" s="4" t="s">
        <v>1160</v>
      </c>
      <c r="C687" s="4" t="s">
        <v>19</v>
      </c>
      <c r="D687" s="1">
        <v>43939</v>
      </c>
      <c r="E687" s="4">
        <v>187358796</v>
      </c>
      <c r="F687" s="1">
        <v>43957</v>
      </c>
      <c r="G687" s="3">
        <v>2486</v>
      </c>
      <c r="H687" s="2">
        <v>152.58000000000001</v>
      </c>
      <c r="I687" s="2">
        <v>97.44</v>
      </c>
      <c r="J687" s="2">
        <v>379313.88</v>
      </c>
      <c r="K687" s="2">
        <v>242235.84</v>
      </c>
    </row>
    <row r="688" spans="1:11" x14ac:dyDescent="0.3">
      <c r="A688" s="4" t="s">
        <v>678</v>
      </c>
      <c r="B688" s="4" t="s">
        <v>1164</v>
      </c>
      <c r="C688" s="4" t="s">
        <v>12</v>
      </c>
      <c r="D688" s="1">
        <v>44370</v>
      </c>
      <c r="E688" s="4">
        <v>106946170</v>
      </c>
      <c r="F688" s="1">
        <v>44404</v>
      </c>
      <c r="G688" s="3">
        <v>6603</v>
      </c>
      <c r="H688" s="2">
        <v>205.7</v>
      </c>
      <c r="I688" s="2">
        <v>117.11</v>
      </c>
      <c r="J688" s="2">
        <v>1358237.0999999999</v>
      </c>
      <c r="K688" s="2">
        <v>773277.33</v>
      </c>
    </row>
    <row r="689" spans="1:11" x14ac:dyDescent="0.3">
      <c r="A689" s="4" t="s">
        <v>679</v>
      </c>
      <c r="B689" s="4" t="s">
        <v>1176</v>
      </c>
      <c r="C689" s="4" t="s">
        <v>14</v>
      </c>
      <c r="D689" s="1">
        <v>43950</v>
      </c>
      <c r="E689" s="4">
        <v>218533360</v>
      </c>
      <c r="F689" s="1">
        <v>43953</v>
      </c>
      <c r="G689" s="3">
        <v>7733</v>
      </c>
      <c r="H689" s="2">
        <v>651.21</v>
      </c>
      <c r="I689" s="2">
        <v>524.96</v>
      </c>
      <c r="J689" s="2">
        <v>5035806.9300000006</v>
      </c>
      <c r="K689" s="2">
        <v>4059515.68</v>
      </c>
    </row>
    <row r="690" spans="1:11" x14ac:dyDescent="0.3">
      <c r="A690" s="4" t="s">
        <v>680</v>
      </c>
      <c r="B690" s="4" t="s">
        <v>1176</v>
      </c>
      <c r="C690" s="4" t="s">
        <v>17</v>
      </c>
      <c r="D690" s="1">
        <v>44039</v>
      </c>
      <c r="E690" s="4">
        <v>153419196</v>
      </c>
      <c r="F690" s="1">
        <v>44050</v>
      </c>
      <c r="G690" s="3">
        <v>9004</v>
      </c>
      <c r="H690" s="2">
        <v>651.21</v>
      </c>
      <c r="I690" s="2">
        <v>524.96</v>
      </c>
      <c r="J690" s="2">
        <v>5863494.8400000008</v>
      </c>
      <c r="K690" s="2">
        <v>4726739.8400000008</v>
      </c>
    </row>
    <row r="691" spans="1:11" x14ac:dyDescent="0.3">
      <c r="A691" s="4" t="s">
        <v>681</v>
      </c>
      <c r="B691" s="4" t="s">
        <v>1166</v>
      </c>
      <c r="C691" s="4" t="s">
        <v>14</v>
      </c>
      <c r="D691" s="1">
        <v>44055</v>
      </c>
      <c r="E691" s="4">
        <v>963215005</v>
      </c>
      <c r="F691" s="1">
        <v>44064</v>
      </c>
      <c r="G691" s="3">
        <v>5580</v>
      </c>
      <c r="H691" s="2">
        <v>9.33</v>
      </c>
      <c r="I691" s="2">
        <v>6.92</v>
      </c>
      <c r="J691" s="2">
        <v>52061.4</v>
      </c>
      <c r="K691" s="2">
        <v>38613.599999999999</v>
      </c>
    </row>
    <row r="692" spans="1:11" x14ac:dyDescent="0.3">
      <c r="A692" s="4" t="s">
        <v>682</v>
      </c>
      <c r="B692" s="4" t="s">
        <v>1178</v>
      </c>
      <c r="C692" s="4" t="s">
        <v>14</v>
      </c>
      <c r="D692" s="1">
        <v>44088</v>
      </c>
      <c r="E692" s="4">
        <v>169844615</v>
      </c>
      <c r="F692" s="1">
        <v>44123</v>
      </c>
      <c r="G692" s="3">
        <v>9651</v>
      </c>
      <c r="H692" s="2">
        <v>154.06</v>
      </c>
      <c r="I692" s="2">
        <v>90.93</v>
      </c>
      <c r="J692" s="2">
        <v>1486833.06</v>
      </c>
      <c r="K692" s="2">
        <v>877565.43</v>
      </c>
    </row>
    <row r="693" spans="1:11" x14ac:dyDescent="0.3">
      <c r="A693" s="4" t="s">
        <v>683</v>
      </c>
      <c r="B693" s="4" t="s">
        <v>1174</v>
      </c>
      <c r="C693" s="4" t="s">
        <v>14</v>
      </c>
      <c r="D693" s="1">
        <v>44373</v>
      </c>
      <c r="E693" s="4">
        <v>315544354</v>
      </c>
      <c r="F693" s="1">
        <v>44412</v>
      </c>
      <c r="G693" s="3">
        <v>5441</v>
      </c>
      <c r="H693" s="2">
        <v>81.73</v>
      </c>
      <c r="I693" s="2">
        <v>56.67</v>
      </c>
      <c r="J693" s="2">
        <v>444692.93</v>
      </c>
      <c r="K693" s="2">
        <v>308341.47000000003</v>
      </c>
    </row>
    <row r="694" spans="1:11" x14ac:dyDescent="0.3">
      <c r="A694" s="4" t="s">
        <v>684</v>
      </c>
      <c r="B694" s="4" t="s">
        <v>1178</v>
      </c>
      <c r="C694" s="4" t="s">
        <v>12</v>
      </c>
      <c r="D694" s="1">
        <v>44768</v>
      </c>
      <c r="E694" s="4">
        <v>412863051</v>
      </c>
      <c r="F694" s="1">
        <v>44778</v>
      </c>
      <c r="G694" s="3">
        <v>4206</v>
      </c>
      <c r="H694" s="2">
        <v>154.06</v>
      </c>
      <c r="I694" s="2">
        <v>90.93</v>
      </c>
      <c r="J694" s="2">
        <v>647976.36</v>
      </c>
      <c r="K694" s="2">
        <v>382451.58</v>
      </c>
    </row>
    <row r="695" spans="1:11" x14ac:dyDescent="0.3">
      <c r="A695" s="4" t="s">
        <v>685</v>
      </c>
      <c r="B695" s="4" t="s">
        <v>1166</v>
      </c>
      <c r="C695" s="4" t="s">
        <v>14</v>
      </c>
      <c r="D695" s="1">
        <v>44237</v>
      </c>
      <c r="E695" s="4">
        <v>894662034</v>
      </c>
      <c r="F695" s="1">
        <v>44240</v>
      </c>
      <c r="G695" s="3">
        <v>9232</v>
      </c>
      <c r="H695" s="2">
        <v>9.33</v>
      </c>
      <c r="I695" s="2">
        <v>6.92</v>
      </c>
      <c r="J695" s="2">
        <v>86134.56</v>
      </c>
      <c r="K695" s="2">
        <v>63885.440000000002</v>
      </c>
    </row>
    <row r="696" spans="1:11" x14ac:dyDescent="0.3">
      <c r="A696" s="4" t="s">
        <v>686</v>
      </c>
      <c r="B696" s="4" t="s">
        <v>1174</v>
      </c>
      <c r="C696" s="4" t="s">
        <v>12</v>
      </c>
      <c r="D696" s="1">
        <v>44500</v>
      </c>
      <c r="E696" s="4">
        <v>464115130</v>
      </c>
      <c r="F696" s="1">
        <v>44509</v>
      </c>
      <c r="G696" s="3">
        <v>836</v>
      </c>
      <c r="H696" s="2">
        <v>81.73</v>
      </c>
      <c r="I696" s="2">
        <v>56.67</v>
      </c>
      <c r="J696" s="2">
        <v>68326.28</v>
      </c>
      <c r="K696" s="2">
        <v>47376.12</v>
      </c>
    </row>
    <row r="697" spans="1:11" x14ac:dyDescent="0.3">
      <c r="A697" s="4" t="s">
        <v>687</v>
      </c>
      <c r="B697" s="4" t="s">
        <v>1170</v>
      </c>
      <c r="C697" s="4" t="s">
        <v>19</v>
      </c>
      <c r="D697" s="1">
        <v>44290</v>
      </c>
      <c r="E697" s="4">
        <v>144708669</v>
      </c>
      <c r="F697" s="1">
        <v>44321</v>
      </c>
      <c r="G697" s="3">
        <v>1366</v>
      </c>
      <c r="H697" s="2">
        <v>47.45</v>
      </c>
      <c r="I697" s="2">
        <v>31.79</v>
      </c>
      <c r="J697" s="2">
        <v>64816.700000000004</v>
      </c>
      <c r="K697" s="2">
        <v>43425.14</v>
      </c>
    </row>
    <row r="698" spans="1:11" x14ac:dyDescent="0.3">
      <c r="A698" s="4" t="s">
        <v>688</v>
      </c>
      <c r="B698" s="4" t="s">
        <v>1166</v>
      </c>
      <c r="C698" s="4" t="s">
        <v>17</v>
      </c>
      <c r="D698" s="1">
        <v>44054</v>
      </c>
      <c r="E698" s="4">
        <v>130241477</v>
      </c>
      <c r="F698" s="1">
        <v>44066</v>
      </c>
      <c r="G698" s="3">
        <v>202</v>
      </c>
      <c r="H698" s="2">
        <v>9.33</v>
      </c>
      <c r="I698" s="2">
        <v>6.92</v>
      </c>
      <c r="J698" s="2">
        <v>1884.66</v>
      </c>
      <c r="K698" s="2">
        <v>1397.84</v>
      </c>
    </row>
    <row r="699" spans="1:11" x14ac:dyDescent="0.3">
      <c r="A699" s="4" t="s">
        <v>689</v>
      </c>
      <c r="B699" s="4" t="s">
        <v>1164</v>
      </c>
      <c r="C699" s="4" t="s">
        <v>12</v>
      </c>
      <c r="D699" s="1">
        <v>44387</v>
      </c>
      <c r="E699" s="4">
        <v>234824883</v>
      </c>
      <c r="F699" s="1">
        <v>44396</v>
      </c>
      <c r="G699" s="3">
        <v>8756</v>
      </c>
      <c r="H699" s="2">
        <v>205.7</v>
      </c>
      <c r="I699" s="2">
        <v>117.11</v>
      </c>
      <c r="J699" s="2">
        <v>1801109.2</v>
      </c>
      <c r="K699" s="2">
        <v>1025415.16</v>
      </c>
    </row>
    <row r="700" spans="1:11" x14ac:dyDescent="0.3">
      <c r="A700" s="4" t="s">
        <v>690</v>
      </c>
      <c r="B700" s="4" t="s">
        <v>1164</v>
      </c>
      <c r="C700" s="4" t="s">
        <v>14</v>
      </c>
      <c r="D700" s="1">
        <v>44463</v>
      </c>
      <c r="E700" s="4">
        <v>342882716</v>
      </c>
      <c r="F700" s="1">
        <v>44478</v>
      </c>
      <c r="G700" s="3">
        <v>5470</v>
      </c>
      <c r="H700" s="2">
        <v>205.7</v>
      </c>
      <c r="I700" s="2">
        <v>117.11</v>
      </c>
      <c r="J700" s="2">
        <v>1125179</v>
      </c>
      <c r="K700" s="2">
        <v>640591.69999999995</v>
      </c>
    </row>
    <row r="701" spans="1:11" x14ac:dyDescent="0.3">
      <c r="A701" s="4" t="s">
        <v>691</v>
      </c>
      <c r="B701" s="4" t="s">
        <v>1182</v>
      </c>
      <c r="C701" s="4" t="s">
        <v>19</v>
      </c>
      <c r="D701" s="1">
        <v>44648</v>
      </c>
      <c r="E701" s="4">
        <v>859151303</v>
      </c>
      <c r="F701" s="1">
        <v>44687</v>
      </c>
      <c r="G701" s="3">
        <v>818</v>
      </c>
      <c r="H701" s="2">
        <v>668.27</v>
      </c>
      <c r="I701" s="2">
        <v>502.54</v>
      </c>
      <c r="J701" s="2">
        <v>546644.86</v>
      </c>
      <c r="K701" s="2">
        <v>411077.72000000003</v>
      </c>
    </row>
    <row r="702" spans="1:11" x14ac:dyDescent="0.3">
      <c r="A702" s="4" t="s">
        <v>692</v>
      </c>
      <c r="B702" s="4" t="s">
        <v>1162</v>
      </c>
      <c r="C702" s="4" t="s">
        <v>12</v>
      </c>
      <c r="D702" s="1">
        <v>43887</v>
      </c>
      <c r="E702" s="4">
        <v>458679473</v>
      </c>
      <c r="F702" s="1">
        <v>43912</v>
      </c>
      <c r="G702" s="3">
        <v>2304</v>
      </c>
      <c r="H702" s="2">
        <v>421.89</v>
      </c>
      <c r="I702" s="2">
        <v>364.69</v>
      </c>
      <c r="J702" s="2">
        <v>972034.55999999994</v>
      </c>
      <c r="K702" s="2">
        <v>840245.76000000001</v>
      </c>
    </row>
    <row r="703" spans="1:11" x14ac:dyDescent="0.3">
      <c r="A703" s="4" t="s">
        <v>693</v>
      </c>
      <c r="B703" s="4" t="s">
        <v>1160</v>
      </c>
      <c r="C703" s="4" t="s">
        <v>12</v>
      </c>
      <c r="D703" s="1">
        <v>44407</v>
      </c>
      <c r="E703" s="4">
        <v>136828553</v>
      </c>
      <c r="F703" s="1">
        <v>44441</v>
      </c>
      <c r="G703" s="3">
        <v>9464</v>
      </c>
      <c r="H703" s="2">
        <v>152.58000000000001</v>
      </c>
      <c r="I703" s="2">
        <v>97.44</v>
      </c>
      <c r="J703" s="2">
        <v>1444017.12</v>
      </c>
      <c r="K703" s="2">
        <v>922172.16</v>
      </c>
    </row>
    <row r="704" spans="1:11" x14ac:dyDescent="0.3">
      <c r="A704" s="4" t="s">
        <v>694</v>
      </c>
      <c r="B704" s="4" t="s">
        <v>1168</v>
      </c>
      <c r="C704" s="4" t="s">
        <v>14</v>
      </c>
      <c r="D704" s="1">
        <v>43880</v>
      </c>
      <c r="E704" s="4">
        <v>959272372</v>
      </c>
      <c r="F704" s="1">
        <v>43891</v>
      </c>
      <c r="G704" s="3">
        <v>8867</v>
      </c>
      <c r="H704" s="2">
        <v>255.28</v>
      </c>
      <c r="I704" s="2">
        <v>159.41999999999999</v>
      </c>
      <c r="J704" s="2">
        <v>2263567.7600000002</v>
      </c>
      <c r="K704" s="2">
        <v>1413577.14</v>
      </c>
    </row>
    <row r="705" spans="1:11" x14ac:dyDescent="0.3">
      <c r="A705" s="4" t="s">
        <v>695</v>
      </c>
      <c r="B705" s="4" t="s">
        <v>1164</v>
      </c>
      <c r="C705" s="4" t="s">
        <v>19</v>
      </c>
      <c r="D705" s="1">
        <v>44304</v>
      </c>
      <c r="E705" s="4">
        <v>911997258</v>
      </c>
      <c r="F705" s="1">
        <v>44323</v>
      </c>
      <c r="G705" s="3">
        <v>9110</v>
      </c>
      <c r="H705" s="2">
        <v>205.7</v>
      </c>
      <c r="I705" s="2">
        <v>117.11</v>
      </c>
      <c r="J705" s="2">
        <v>1873927</v>
      </c>
      <c r="K705" s="2">
        <v>1066872.1000000001</v>
      </c>
    </row>
    <row r="706" spans="1:11" x14ac:dyDescent="0.3">
      <c r="A706" s="4" t="s">
        <v>696</v>
      </c>
      <c r="B706" s="4" t="s">
        <v>1178</v>
      </c>
      <c r="C706" s="4" t="s">
        <v>12</v>
      </c>
      <c r="D706" s="1">
        <v>44169</v>
      </c>
      <c r="E706" s="4">
        <v>751302039</v>
      </c>
      <c r="F706" s="1">
        <v>44175</v>
      </c>
      <c r="G706" s="3">
        <v>5824</v>
      </c>
      <c r="H706" s="2">
        <v>154.06</v>
      </c>
      <c r="I706" s="2">
        <v>90.93</v>
      </c>
      <c r="J706" s="2">
        <v>897245.44000000006</v>
      </c>
      <c r="K706" s="2">
        <v>529576.32000000007</v>
      </c>
    </row>
    <row r="707" spans="1:11" x14ac:dyDescent="0.3">
      <c r="A707" s="4" t="s">
        <v>697</v>
      </c>
      <c r="B707" s="4" t="s">
        <v>1160</v>
      </c>
      <c r="C707" s="4" t="s">
        <v>19</v>
      </c>
      <c r="D707" s="1">
        <v>44198</v>
      </c>
      <c r="E707" s="4">
        <v>853798043</v>
      </c>
      <c r="F707" s="1">
        <v>44232</v>
      </c>
      <c r="G707" s="3">
        <v>6669</v>
      </c>
      <c r="H707" s="2">
        <v>152.58000000000001</v>
      </c>
      <c r="I707" s="2">
        <v>97.44</v>
      </c>
      <c r="J707" s="2">
        <v>1017556.0200000001</v>
      </c>
      <c r="K707" s="2">
        <v>649827.36</v>
      </c>
    </row>
    <row r="708" spans="1:11" x14ac:dyDescent="0.3">
      <c r="A708" s="4" t="s">
        <v>698</v>
      </c>
      <c r="B708" s="4" t="s">
        <v>1162</v>
      </c>
      <c r="C708" s="4" t="s">
        <v>12</v>
      </c>
      <c r="D708" s="1">
        <v>44741</v>
      </c>
      <c r="E708" s="4">
        <v>766409099</v>
      </c>
      <c r="F708" s="1">
        <v>44745</v>
      </c>
      <c r="G708" s="3">
        <v>6338</v>
      </c>
      <c r="H708" s="2">
        <v>421.89</v>
      </c>
      <c r="I708" s="2">
        <v>364.69</v>
      </c>
      <c r="J708" s="2">
        <v>2673938.8199999998</v>
      </c>
      <c r="K708" s="2">
        <v>2311405.2200000002</v>
      </c>
    </row>
    <row r="709" spans="1:11" x14ac:dyDescent="0.3">
      <c r="A709" s="4" t="s">
        <v>699</v>
      </c>
      <c r="B709" s="4" t="s">
        <v>1166</v>
      </c>
      <c r="C709" s="4" t="s">
        <v>19</v>
      </c>
      <c r="D709" s="1">
        <v>44206</v>
      </c>
      <c r="E709" s="4">
        <v>556371533</v>
      </c>
      <c r="F709" s="1">
        <v>44236</v>
      </c>
      <c r="G709" s="3">
        <v>1555</v>
      </c>
      <c r="H709" s="2">
        <v>9.33</v>
      </c>
      <c r="I709" s="2">
        <v>6.92</v>
      </c>
      <c r="J709" s="2">
        <v>14508.15</v>
      </c>
      <c r="K709" s="2">
        <v>10760.6</v>
      </c>
    </row>
    <row r="710" spans="1:11" x14ac:dyDescent="0.3">
      <c r="A710" s="4" t="s">
        <v>700</v>
      </c>
      <c r="B710" s="4" t="s">
        <v>1168</v>
      </c>
      <c r="C710" s="4" t="s">
        <v>19</v>
      </c>
      <c r="D710" s="1">
        <v>44802</v>
      </c>
      <c r="E710" s="4">
        <v>361234176</v>
      </c>
      <c r="F710" s="1">
        <v>44815</v>
      </c>
      <c r="G710" s="3">
        <v>6075</v>
      </c>
      <c r="H710" s="2">
        <v>255.28</v>
      </c>
      <c r="I710" s="2">
        <v>159.41999999999999</v>
      </c>
      <c r="J710" s="2">
        <v>1550826</v>
      </c>
      <c r="K710" s="2">
        <v>968476.49999999988</v>
      </c>
    </row>
    <row r="711" spans="1:11" x14ac:dyDescent="0.3">
      <c r="A711" s="4" t="s">
        <v>701</v>
      </c>
      <c r="B711" s="4" t="s">
        <v>1166</v>
      </c>
      <c r="C711" s="4" t="s">
        <v>19</v>
      </c>
      <c r="D711" s="1">
        <v>44708</v>
      </c>
      <c r="E711" s="4">
        <v>838858354</v>
      </c>
      <c r="F711" s="1">
        <v>44728</v>
      </c>
      <c r="G711" s="3">
        <v>5683</v>
      </c>
      <c r="H711" s="2">
        <v>9.33</v>
      </c>
      <c r="I711" s="2">
        <v>6.92</v>
      </c>
      <c r="J711" s="2">
        <v>53022.39</v>
      </c>
      <c r="K711" s="2">
        <v>39326.36</v>
      </c>
    </row>
    <row r="712" spans="1:11" x14ac:dyDescent="0.3">
      <c r="A712" s="4" t="s">
        <v>702</v>
      </c>
      <c r="B712" s="4" t="s">
        <v>1170</v>
      </c>
      <c r="C712" s="4" t="s">
        <v>14</v>
      </c>
      <c r="D712" s="1">
        <v>44860</v>
      </c>
      <c r="E712" s="4">
        <v>917417895</v>
      </c>
      <c r="F712" s="1">
        <v>44862</v>
      </c>
      <c r="G712" s="3">
        <v>3197</v>
      </c>
      <c r="H712" s="2">
        <v>47.45</v>
      </c>
      <c r="I712" s="2">
        <v>31.79</v>
      </c>
      <c r="J712" s="2">
        <v>151697.65000000002</v>
      </c>
      <c r="K712" s="2">
        <v>101632.62999999999</v>
      </c>
    </row>
    <row r="713" spans="1:11" x14ac:dyDescent="0.3">
      <c r="A713" s="4" t="s">
        <v>703</v>
      </c>
      <c r="B713" s="4" t="s">
        <v>1162</v>
      </c>
      <c r="C713" s="4" t="s">
        <v>19</v>
      </c>
      <c r="D713" s="1">
        <v>44255</v>
      </c>
      <c r="E713" s="4">
        <v>945399129</v>
      </c>
      <c r="F713" s="1">
        <v>44284</v>
      </c>
      <c r="G713" s="3">
        <v>3466</v>
      </c>
      <c r="H713" s="2">
        <v>421.89</v>
      </c>
      <c r="I713" s="2">
        <v>364.69</v>
      </c>
      <c r="J713" s="2">
        <v>1462270.74</v>
      </c>
      <c r="K713" s="2">
        <v>1264015.54</v>
      </c>
    </row>
    <row r="714" spans="1:11" x14ac:dyDescent="0.3">
      <c r="A714" s="4" t="s">
        <v>704</v>
      </c>
      <c r="B714" s="4" t="s">
        <v>1162</v>
      </c>
      <c r="C714" s="4" t="s">
        <v>17</v>
      </c>
      <c r="D714" s="1">
        <v>44643</v>
      </c>
      <c r="E714" s="4">
        <v>441600883</v>
      </c>
      <c r="F714" s="1">
        <v>44647</v>
      </c>
      <c r="G714" s="3">
        <v>8369</v>
      </c>
      <c r="H714" s="2">
        <v>421.89</v>
      </c>
      <c r="I714" s="2">
        <v>364.69</v>
      </c>
      <c r="J714" s="2">
        <v>3530797.4099999997</v>
      </c>
      <c r="K714" s="2">
        <v>3052090.61</v>
      </c>
    </row>
    <row r="715" spans="1:11" x14ac:dyDescent="0.3">
      <c r="A715" s="4" t="s">
        <v>705</v>
      </c>
      <c r="B715" s="4" t="s">
        <v>1178</v>
      </c>
      <c r="C715" s="4" t="s">
        <v>12</v>
      </c>
      <c r="D715" s="1">
        <v>44793</v>
      </c>
      <c r="E715" s="4">
        <v>345134484</v>
      </c>
      <c r="F715" s="1">
        <v>44841</v>
      </c>
      <c r="G715" s="3">
        <v>1818</v>
      </c>
      <c r="H715" s="2">
        <v>154.06</v>
      </c>
      <c r="I715" s="2">
        <v>90.93</v>
      </c>
      <c r="J715" s="2">
        <v>280081.08</v>
      </c>
      <c r="K715" s="2">
        <v>165310.74000000002</v>
      </c>
    </row>
    <row r="716" spans="1:11" x14ac:dyDescent="0.3">
      <c r="A716" s="4" t="s">
        <v>706</v>
      </c>
      <c r="B716" s="4" t="s">
        <v>1162</v>
      </c>
      <c r="C716" s="4" t="s">
        <v>12</v>
      </c>
      <c r="D716" s="1">
        <v>44139</v>
      </c>
      <c r="E716" s="4">
        <v>765423762</v>
      </c>
      <c r="F716" s="1">
        <v>44153</v>
      </c>
      <c r="G716" s="3">
        <v>4756</v>
      </c>
      <c r="H716" s="2">
        <v>421.89</v>
      </c>
      <c r="I716" s="2">
        <v>364.69</v>
      </c>
      <c r="J716" s="2">
        <v>2006508.8399999999</v>
      </c>
      <c r="K716" s="2">
        <v>1734465.64</v>
      </c>
    </row>
    <row r="717" spans="1:11" x14ac:dyDescent="0.3">
      <c r="A717" s="4" t="s">
        <v>707</v>
      </c>
      <c r="B717" s="4" t="s">
        <v>1168</v>
      </c>
      <c r="C717" s="4" t="s">
        <v>19</v>
      </c>
      <c r="D717" s="1">
        <v>44353</v>
      </c>
      <c r="E717" s="4">
        <v>532205045</v>
      </c>
      <c r="F717" s="1">
        <v>44378</v>
      </c>
      <c r="G717" s="3">
        <v>154</v>
      </c>
      <c r="H717" s="2">
        <v>255.28</v>
      </c>
      <c r="I717" s="2">
        <v>159.41999999999999</v>
      </c>
      <c r="J717" s="2">
        <v>39313.120000000003</v>
      </c>
      <c r="K717" s="2">
        <v>24550.679999999997</v>
      </c>
    </row>
    <row r="718" spans="1:11" x14ac:dyDescent="0.3">
      <c r="A718" s="4" t="s">
        <v>708</v>
      </c>
      <c r="B718" s="4" t="s">
        <v>1178</v>
      </c>
      <c r="C718" s="4" t="s">
        <v>19</v>
      </c>
      <c r="D718" s="1">
        <v>44641</v>
      </c>
      <c r="E718" s="4">
        <v>345527160</v>
      </c>
      <c r="F718" s="1">
        <v>44679</v>
      </c>
      <c r="G718" s="3">
        <v>8020</v>
      </c>
      <c r="H718" s="2">
        <v>154.06</v>
      </c>
      <c r="I718" s="2">
        <v>90.93</v>
      </c>
      <c r="J718" s="2">
        <v>1235561.2</v>
      </c>
      <c r="K718" s="2">
        <v>729258.60000000009</v>
      </c>
    </row>
    <row r="719" spans="1:11" x14ac:dyDescent="0.3">
      <c r="A719" s="4" t="s">
        <v>709</v>
      </c>
      <c r="B719" s="4" t="s">
        <v>1178</v>
      </c>
      <c r="C719" s="4" t="s">
        <v>12</v>
      </c>
      <c r="D719" s="1">
        <v>44357</v>
      </c>
      <c r="E719" s="4">
        <v>525751435</v>
      </c>
      <c r="F719" s="1">
        <v>44382</v>
      </c>
      <c r="G719" s="3">
        <v>388</v>
      </c>
      <c r="H719" s="2">
        <v>154.06</v>
      </c>
      <c r="I719" s="2">
        <v>90.93</v>
      </c>
      <c r="J719" s="2">
        <v>59775.28</v>
      </c>
      <c r="K719" s="2">
        <v>35280.840000000004</v>
      </c>
    </row>
    <row r="720" spans="1:11" x14ac:dyDescent="0.3">
      <c r="A720" s="4" t="s">
        <v>710</v>
      </c>
      <c r="B720" s="4" t="s">
        <v>1178</v>
      </c>
      <c r="C720" s="4" t="s">
        <v>17</v>
      </c>
      <c r="D720" s="1">
        <v>44569</v>
      </c>
      <c r="E720" s="4">
        <v>563551700</v>
      </c>
      <c r="F720" s="1">
        <v>44616</v>
      </c>
      <c r="G720" s="3">
        <v>6326</v>
      </c>
      <c r="H720" s="2">
        <v>154.06</v>
      </c>
      <c r="I720" s="2">
        <v>90.93</v>
      </c>
      <c r="J720" s="2">
        <v>974583.56</v>
      </c>
      <c r="K720" s="2">
        <v>575223.18000000005</v>
      </c>
    </row>
    <row r="721" spans="1:11" x14ac:dyDescent="0.3">
      <c r="A721" s="4" t="s">
        <v>264</v>
      </c>
      <c r="B721" s="4" t="s">
        <v>1168</v>
      </c>
      <c r="C721" s="4" t="s">
        <v>17</v>
      </c>
      <c r="D721" s="1">
        <v>44402</v>
      </c>
      <c r="E721" s="4">
        <v>469914281</v>
      </c>
      <c r="F721" s="1">
        <v>44426</v>
      </c>
      <c r="G721" s="3">
        <v>6933</v>
      </c>
      <c r="H721" s="2">
        <v>255.28</v>
      </c>
      <c r="I721" s="2">
        <v>159.41999999999999</v>
      </c>
      <c r="J721" s="2">
        <v>1769856.24</v>
      </c>
      <c r="K721" s="2">
        <v>1105258.8599999999</v>
      </c>
    </row>
    <row r="722" spans="1:11" x14ac:dyDescent="0.3">
      <c r="A722" s="4" t="s">
        <v>711</v>
      </c>
      <c r="B722" s="4" t="s">
        <v>1162</v>
      </c>
      <c r="C722" s="4" t="s">
        <v>14</v>
      </c>
      <c r="D722" s="1">
        <v>44695</v>
      </c>
      <c r="E722" s="4">
        <v>326138007</v>
      </c>
      <c r="F722" s="1">
        <v>44716</v>
      </c>
      <c r="G722" s="3">
        <v>339</v>
      </c>
      <c r="H722" s="2">
        <v>421.89</v>
      </c>
      <c r="I722" s="2">
        <v>364.69</v>
      </c>
      <c r="J722" s="2">
        <v>143020.71</v>
      </c>
      <c r="K722" s="2">
        <v>123629.91</v>
      </c>
    </row>
    <row r="723" spans="1:11" x14ac:dyDescent="0.3">
      <c r="A723" s="4" t="s">
        <v>712</v>
      </c>
      <c r="B723" s="4" t="s">
        <v>1176</v>
      </c>
      <c r="C723" s="4" t="s">
        <v>12</v>
      </c>
      <c r="D723" s="1">
        <v>44345</v>
      </c>
      <c r="E723" s="4">
        <v>733834207</v>
      </c>
      <c r="F723" s="1">
        <v>44356</v>
      </c>
      <c r="G723" s="3">
        <v>6704</v>
      </c>
      <c r="H723" s="2">
        <v>651.21</v>
      </c>
      <c r="I723" s="2">
        <v>524.96</v>
      </c>
      <c r="J723" s="2">
        <v>4365711.84</v>
      </c>
      <c r="K723" s="2">
        <v>3519331.8400000003</v>
      </c>
    </row>
    <row r="724" spans="1:11" x14ac:dyDescent="0.3">
      <c r="A724" s="4" t="s">
        <v>713</v>
      </c>
      <c r="B724" s="4" t="s">
        <v>1182</v>
      </c>
      <c r="C724" s="4" t="s">
        <v>12</v>
      </c>
      <c r="D724" s="1">
        <v>43963</v>
      </c>
      <c r="E724" s="4">
        <v>564926707</v>
      </c>
      <c r="F724" s="1">
        <v>43970</v>
      </c>
      <c r="G724" s="3">
        <v>3221</v>
      </c>
      <c r="H724" s="2">
        <v>668.27</v>
      </c>
      <c r="I724" s="2">
        <v>502.54</v>
      </c>
      <c r="J724" s="2">
        <v>2152497.67</v>
      </c>
      <c r="K724" s="2">
        <v>1618681.34</v>
      </c>
    </row>
    <row r="725" spans="1:11" x14ac:dyDescent="0.3">
      <c r="A725" s="4" t="s">
        <v>714</v>
      </c>
      <c r="B725" s="4" t="s">
        <v>1180</v>
      </c>
      <c r="C725" s="4" t="s">
        <v>12</v>
      </c>
      <c r="D725" s="1">
        <v>44305</v>
      </c>
      <c r="E725" s="4">
        <v>111651837</v>
      </c>
      <c r="F725" s="1">
        <v>44341</v>
      </c>
      <c r="G725" s="3">
        <v>9115</v>
      </c>
      <c r="H725" s="2">
        <v>109.28</v>
      </c>
      <c r="I725" s="2">
        <v>35.840000000000003</v>
      </c>
      <c r="J725" s="2">
        <v>996087.2</v>
      </c>
      <c r="K725" s="2">
        <v>326681.60000000003</v>
      </c>
    </row>
    <row r="726" spans="1:11" x14ac:dyDescent="0.3">
      <c r="A726" s="4" t="s">
        <v>715</v>
      </c>
      <c r="B726" s="4" t="s">
        <v>1178</v>
      </c>
      <c r="C726" s="4" t="s">
        <v>19</v>
      </c>
      <c r="D726" s="1">
        <v>44709</v>
      </c>
      <c r="E726" s="4">
        <v>636558425</v>
      </c>
      <c r="F726" s="1">
        <v>44720</v>
      </c>
      <c r="G726" s="3">
        <v>639</v>
      </c>
      <c r="H726" s="2">
        <v>154.06</v>
      </c>
      <c r="I726" s="2">
        <v>90.93</v>
      </c>
      <c r="J726" s="2">
        <v>98444.34</v>
      </c>
      <c r="K726" s="2">
        <v>58104.270000000004</v>
      </c>
    </row>
    <row r="727" spans="1:11" x14ac:dyDescent="0.3">
      <c r="A727" s="4" t="s">
        <v>716</v>
      </c>
      <c r="B727" s="4" t="s">
        <v>1160</v>
      </c>
      <c r="C727" s="4" t="s">
        <v>14</v>
      </c>
      <c r="D727" s="1">
        <v>44660</v>
      </c>
      <c r="E727" s="4">
        <v>322507798</v>
      </c>
      <c r="F727" s="1">
        <v>44672</v>
      </c>
      <c r="G727" s="3">
        <v>6079</v>
      </c>
      <c r="H727" s="2">
        <v>152.58000000000001</v>
      </c>
      <c r="I727" s="2">
        <v>97.44</v>
      </c>
      <c r="J727" s="2">
        <v>927533.82000000007</v>
      </c>
      <c r="K727" s="2">
        <v>592337.76</v>
      </c>
    </row>
    <row r="728" spans="1:11" x14ac:dyDescent="0.3">
      <c r="A728" s="4" t="s">
        <v>717</v>
      </c>
      <c r="B728" s="4" t="s">
        <v>1180</v>
      </c>
      <c r="C728" s="4" t="s">
        <v>14</v>
      </c>
      <c r="D728" s="1">
        <v>44311</v>
      </c>
      <c r="E728" s="4">
        <v>122673785</v>
      </c>
      <c r="F728" s="1">
        <v>44315</v>
      </c>
      <c r="G728" s="3">
        <v>754</v>
      </c>
      <c r="H728" s="2">
        <v>109.28</v>
      </c>
      <c r="I728" s="2">
        <v>35.840000000000003</v>
      </c>
      <c r="J728" s="2">
        <v>82397.119999999995</v>
      </c>
      <c r="K728" s="2">
        <v>27023.360000000004</v>
      </c>
    </row>
    <row r="729" spans="1:11" x14ac:dyDescent="0.3">
      <c r="A729" s="4" t="s">
        <v>718</v>
      </c>
      <c r="B729" s="4" t="s">
        <v>1178</v>
      </c>
      <c r="C729" s="4" t="s">
        <v>19</v>
      </c>
      <c r="D729" s="1">
        <v>43963</v>
      </c>
      <c r="E729" s="4">
        <v>610542714</v>
      </c>
      <c r="F729" s="1">
        <v>43980</v>
      </c>
      <c r="G729" s="3">
        <v>2012</v>
      </c>
      <c r="H729" s="2">
        <v>154.06</v>
      </c>
      <c r="I729" s="2">
        <v>90.93</v>
      </c>
      <c r="J729" s="2">
        <v>309968.72000000003</v>
      </c>
      <c r="K729" s="2">
        <v>182951.16</v>
      </c>
    </row>
    <row r="730" spans="1:11" x14ac:dyDescent="0.3">
      <c r="A730" s="4" t="s">
        <v>719</v>
      </c>
      <c r="B730" s="4" t="s">
        <v>1168</v>
      </c>
      <c r="C730" s="4" t="s">
        <v>17</v>
      </c>
      <c r="D730" s="1">
        <v>44584</v>
      </c>
      <c r="E730" s="4">
        <v>629913413</v>
      </c>
      <c r="F730" s="1">
        <v>44601</v>
      </c>
      <c r="G730" s="3">
        <v>4232</v>
      </c>
      <c r="H730" s="2">
        <v>255.28</v>
      </c>
      <c r="I730" s="2">
        <v>159.41999999999999</v>
      </c>
      <c r="J730" s="2">
        <v>1080344.96</v>
      </c>
      <c r="K730" s="2">
        <v>674665.44</v>
      </c>
    </row>
    <row r="731" spans="1:11" x14ac:dyDescent="0.3">
      <c r="A731" s="4" t="s">
        <v>720</v>
      </c>
      <c r="B731" s="4" t="s">
        <v>1180</v>
      </c>
      <c r="C731" s="4" t="s">
        <v>14</v>
      </c>
      <c r="D731" s="1">
        <v>44159</v>
      </c>
      <c r="E731" s="4">
        <v>444897210</v>
      </c>
      <c r="F731" s="1">
        <v>44197</v>
      </c>
      <c r="G731" s="3">
        <v>3826</v>
      </c>
      <c r="H731" s="2">
        <v>109.28</v>
      </c>
      <c r="I731" s="2">
        <v>35.840000000000003</v>
      </c>
      <c r="J731" s="2">
        <v>418105.28</v>
      </c>
      <c r="K731" s="2">
        <v>137123.84000000003</v>
      </c>
    </row>
    <row r="732" spans="1:11" x14ac:dyDescent="0.3">
      <c r="A732" s="4" t="s">
        <v>721</v>
      </c>
      <c r="B732" s="4" t="s">
        <v>1160</v>
      </c>
      <c r="C732" s="4" t="s">
        <v>14</v>
      </c>
      <c r="D732" s="1">
        <v>44472</v>
      </c>
      <c r="E732" s="4">
        <v>389917933</v>
      </c>
      <c r="F732" s="1">
        <v>44518</v>
      </c>
      <c r="G732" s="3">
        <v>4236</v>
      </c>
      <c r="H732" s="2">
        <v>152.58000000000001</v>
      </c>
      <c r="I732" s="2">
        <v>97.44</v>
      </c>
      <c r="J732" s="2">
        <v>646328.88</v>
      </c>
      <c r="K732" s="2">
        <v>412755.83999999997</v>
      </c>
    </row>
    <row r="733" spans="1:11" x14ac:dyDescent="0.3">
      <c r="A733" s="4" t="s">
        <v>722</v>
      </c>
      <c r="B733" s="4" t="s">
        <v>1172</v>
      </c>
      <c r="C733" s="4" t="s">
        <v>14</v>
      </c>
      <c r="D733" s="1">
        <v>44323</v>
      </c>
      <c r="E733" s="4">
        <v>419711911</v>
      </c>
      <c r="F733" s="1">
        <v>44348</v>
      </c>
      <c r="G733" s="3">
        <v>936</v>
      </c>
      <c r="H733" s="2">
        <v>437.2</v>
      </c>
      <c r="I733" s="2">
        <v>263.33</v>
      </c>
      <c r="J733" s="2">
        <v>409219.2</v>
      </c>
      <c r="K733" s="2">
        <v>246476.87999999998</v>
      </c>
    </row>
    <row r="734" spans="1:11" x14ac:dyDescent="0.3">
      <c r="A734" s="4" t="s">
        <v>723</v>
      </c>
      <c r="B734" s="4" t="s">
        <v>1180</v>
      </c>
      <c r="C734" s="4" t="s">
        <v>17</v>
      </c>
      <c r="D734" s="1">
        <v>44223</v>
      </c>
      <c r="E734" s="4">
        <v>559327971</v>
      </c>
      <c r="F734" s="1">
        <v>44270</v>
      </c>
      <c r="G734" s="3">
        <v>6431</v>
      </c>
      <c r="H734" s="2">
        <v>109.28</v>
      </c>
      <c r="I734" s="2">
        <v>35.840000000000003</v>
      </c>
      <c r="J734" s="2">
        <v>702779.68</v>
      </c>
      <c r="K734" s="2">
        <v>230487.04000000001</v>
      </c>
    </row>
    <row r="735" spans="1:11" x14ac:dyDescent="0.3">
      <c r="A735" s="4" t="s">
        <v>724</v>
      </c>
      <c r="B735" s="4" t="s">
        <v>1176</v>
      </c>
      <c r="C735" s="4" t="s">
        <v>14</v>
      </c>
      <c r="D735" s="1">
        <v>44833</v>
      </c>
      <c r="E735" s="4">
        <v>454127442</v>
      </c>
      <c r="F735" s="1">
        <v>44877</v>
      </c>
      <c r="G735" s="3">
        <v>5257</v>
      </c>
      <c r="H735" s="2">
        <v>651.21</v>
      </c>
      <c r="I735" s="2">
        <v>524.96</v>
      </c>
      <c r="J735" s="2">
        <v>3423410.97</v>
      </c>
      <c r="K735" s="2">
        <v>2759714.72</v>
      </c>
    </row>
    <row r="736" spans="1:11" x14ac:dyDescent="0.3">
      <c r="A736" s="4" t="s">
        <v>725</v>
      </c>
      <c r="B736" s="4" t="s">
        <v>1164</v>
      </c>
      <c r="C736" s="4" t="s">
        <v>12</v>
      </c>
      <c r="D736" s="1">
        <v>44348</v>
      </c>
      <c r="E736" s="4">
        <v>719784152</v>
      </c>
      <c r="F736" s="1">
        <v>44388</v>
      </c>
      <c r="G736" s="3">
        <v>8981</v>
      </c>
      <c r="H736" s="2">
        <v>205.7</v>
      </c>
      <c r="I736" s="2">
        <v>117.11</v>
      </c>
      <c r="J736" s="2">
        <v>1847391.7</v>
      </c>
      <c r="K736" s="2">
        <v>1051764.9099999999</v>
      </c>
    </row>
    <row r="737" spans="1:11" x14ac:dyDescent="0.3">
      <c r="A737" s="4" t="s">
        <v>726</v>
      </c>
      <c r="B737" s="4" t="s">
        <v>1178</v>
      </c>
      <c r="C737" s="4" t="s">
        <v>14</v>
      </c>
      <c r="D737" s="1">
        <v>44243</v>
      </c>
      <c r="E737" s="4">
        <v>692284429</v>
      </c>
      <c r="F737" s="1">
        <v>44262</v>
      </c>
      <c r="G737" s="3">
        <v>1201</v>
      </c>
      <c r="H737" s="2">
        <v>154.06</v>
      </c>
      <c r="I737" s="2">
        <v>90.93</v>
      </c>
      <c r="J737" s="2">
        <v>185026.06</v>
      </c>
      <c r="K737" s="2">
        <v>109206.93000000001</v>
      </c>
    </row>
    <row r="738" spans="1:11" x14ac:dyDescent="0.3">
      <c r="A738" s="4" t="s">
        <v>727</v>
      </c>
      <c r="B738" s="4" t="s">
        <v>1160</v>
      </c>
      <c r="C738" s="4" t="s">
        <v>17</v>
      </c>
      <c r="D738" s="1">
        <v>44573</v>
      </c>
      <c r="E738" s="4">
        <v>677927100</v>
      </c>
      <c r="F738" s="1">
        <v>44579</v>
      </c>
      <c r="G738" s="3">
        <v>2549</v>
      </c>
      <c r="H738" s="2">
        <v>152.58000000000001</v>
      </c>
      <c r="I738" s="2">
        <v>97.44</v>
      </c>
      <c r="J738" s="2">
        <v>388926.42000000004</v>
      </c>
      <c r="K738" s="2">
        <v>248374.56</v>
      </c>
    </row>
    <row r="739" spans="1:11" x14ac:dyDescent="0.3">
      <c r="A739" s="4" t="s">
        <v>728</v>
      </c>
      <c r="B739" s="4" t="s">
        <v>1164</v>
      </c>
      <c r="C739" s="4" t="s">
        <v>17</v>
      </c>
      <c r="D739" s="1">
        <v>44496</v>
      </c>
      <c r="E739" s="4">
        <v>603323495</v>
      </c>
      <c r="F739" s="1">
        <v>44536</v>
      </c>
      <c r="G739" s="3">
        <v>5684</v>
      </c>
      <c r="H739" s="2">
        <v>205.7</v>
      </c>
      <c r="I739" s="2">
        <v>117.11</v>
      </c>
      <c r="J739" s="2">
        <v>1169198.8</v>
      </c>
      <c r="K739" s="2">
        <v>665653.24</v>
      </c>
    </row>
    <row r="740" spans="1:11" x14ac:dyDescent="0.3">
      <c r="A740" s="4" t="s">
        <v>729</v>
      </c>
      <c r="B740" s="4" t="s">
        <v>1180</v>
      </c>
      <c r="C740" s="4" t="s">
        <v>17</v>
      </c>
      <c r="D740" s="1">
        <v>43841</v>
      </c>
      <c r="E740" s="4">
        <v>465397441</v>
      </c>
      <c r="F740" s="1">
        <v>43884</v>
      </c>
      <c r="G740" s="3">
        <v>300</v>
      </c>
      <c r="H740" s="2">
        <v>109.28</v>
      </c>
      <c r="I740" s="2">
        <v>35.840000000000003</v>
      </c>
      <c r="J740" s="2">
        <v>32784</v>
      </c>
      <c r="K740" s="2">
        <v>10752.000000000002</v>
      </c>
    </row>
    <row r="741" spans="1:11" x14ac:dyDescent="0.3">
      <c r="A741" s="4" t="s">
        <v>730</v>
      </c>
      <c r="B741" s="4" t="s">
        <v>1168</v>
      </c>
      <c r="C741" s="4" t="s">
        <v>14</v>
      </c>
      <c r="D741" s="1">
        <v>44668</v>
      </c>
      <c r="E741" s="4">
        <v>781385266</v>
      </c>
      <c r="F741" s="1">
        <v>44673</v>
      </c>
      <c r="G741" s="3">
        <v>8119</v>
      </c>
      <c r="H741" s="2">
        <v>255.28</v>
      </c>
      <c r="I741" s="2">
        <v>159.41999999999999</v>
      </c>
      <c r="J741" s="2">
        <v>2072618.32</v>
      </c>
      <c r="K741" s="2">
        <v>1294330.98</v>
      </c>
    </row>
    <row r="742" spans="1:11" x14ac:dyDescent="0.3">
      <c r="A742" s="4" t="s">
        <v>551</v>
      </c>
      <c r="B742" s="4" t="s">
        <v>1176</v>
      </c>
      <c r="C742" s="4" t="s">
        <v>19</v>
      </c>
      <c r="D742" s="1">
        <v>44490</v>
      </c>
      <c r="E742" s="4">
        <v>338835799</v>
      </c>
      <c r="F742" s="1">
        <v>44495</v>
      </c>
      <c r="G742" s="3">
        <v>7898</v>
      </c>
      <c r="H742" s="2">
        <v>651.21</v>
      </c>
      <c r="I742" s="2">
        <v>524.96</v>
      </c>
      <c r="J742" s="2">
        <v>5143256.58</v>
      </c>
      <c r="K742" s="2">
        <v>4146134.08</v>
      </c>
    </row>
    <row r="743" spans="1:11" x14ac:dyDescent="0.3">
      <c r="A743" s="4" t="s">
        <v>731</v>
      </c>
      <c r="B743" s="4" t="s">
        <v>1168</v>
      </c>
      <c r="C743" s="4" t="s">
        <v>12</v>
      </c>
      <c r="D743" s="1">
        <v>44094</v>
      </c>
      <c r="E743" s="4">
        <v>245610368</v>
      </c>
      <c r="F743" s="1">
        <v>44126</v>
      </c>
      <c r="G743" s="3">
        <v>421</v>
      </c>
      <c r="H743" s="2">
        <v>255.28</v>
      </c>
      <c r="I743" s="2">
        <v>159.41999999999999</v>
      </c>
      <c r="J743" s="2">
        <v>107472.88</v>
      </c>
      <c r="K743" s="2">
        <v>67115.819999999992</v>
      </c>
    </row>
    <row r="744" spans="1:11" x14ac:dyDescent="0.3">
      <c r="A744" s="4" t="s">
        <v>732</v>
      </c>
      <c r="B744" s="4" t="s">
        <v>1168</v>
      </c>
      <c r="C744" s="4" t="s">
        <v>14</v>
      </c>
      <c r="D744" s="1">
        <v>43897</v>
      </c>
      <c r="E744" s="4">
        <v>779882800</v>
      </c>
      <c r="F744" s="1">
        <v>43911</v>
      </c>
      <c r="G744" s="3">
        <v>3506</v>
      </c>
      <c r="H744" s="2">
        <v>255.28</v>
      </c>
      <c r="I744" s="2">
        <v>159.41999999999999</v>
      </c>
      <c r="J744" s="2">
        <v>895011.68</v>
      </c>
      <c r="K744" s="2">
        <v>558926.5199999999</v>
      </c>
    </row>
    <row r="745" spans="1:11" x14ac:dyDescent="0.3">
      <c r="A745" s="4" t="s">
        <v>733</v>
      </c>
      <c r="B745" s="4" t="s">
        <v>1174</v>
      </c>
      <c r="C745" s="4" t="s">
        <v>17</v>
      </c>
      <c r="D745" s="1">
        <v>44458</v>
      </c>
      <c r="E745" s="4">
        <v>940139424</v>
      </c>
      <c r="F745" s="1">
        <v>44502</v>
      </c>
      <c r="G745" s="3">
        <v>7002</v>
      </c>
      <c r="H745" s="2">
        <v>81.73</v>
      </c>
      <c r="I745" s="2">
        <v>56.67</v>
      </c>
      <c r="J745" s="2">
        <v>572273.46000000008</v>
      </c>
      <c r="K745" s="2">
        <v>396803.34</v>
      </c>
    </row>
    <row r="746" spans="1:11" x14ac:dyDescent="0.3">
      <c r="A746" s="4" t="s">
        <v>734</v>
      </c>
      <c r="B746" s="4" t="s">
        <v>1182</v>
      </c>
      <c r="C746" s="4" t="s">
        <v>14</v>
      </c>
      <c r="D746" s="1">
        <v>43877</v>
      </c>
      <c r="E746" s="4">
        <v>695179069</v>
      </c>
      <c r="F746" s="1">
        <v>43877</v>
      </c>
      <c r="G746" s="3">
        <v>7790</v>
      </c>
      <c r="H746" s="2">
        <v>668.27</v>
      </c>
      <c r="I746" s="2">
        <v>502.54</v>
      </c>
      <c r="J746" s="2">
        <v>5205823.3</v>
      </c>
      <c r="K746" s="2">
        <v>3914786.6</v>
      </c>
    </row>
    <row r="747" spans="1:11" x14ac:dyDescent="0.3">
      <c r="A747" s="4" t="s">
        <v>735</v>
      </c>
      <c r="B747" s="4" t="s">
        <v>1166</v>
      </c>
      <c r="C747" s="4" t="s">
        <v>12</v>
      </c>
      <c r="D747" s="1">
        <v>44573</v>
      </c>
      <c r="E747" s="4">
        <v>534113061</v>
      </c>
      <c r="F747" s="1">
        <v>44602</v>
      </c>
      <c r="G747" s="3">
        <v>4779</v>
      </c>
      <c r="H747" s="2">
        <v>9.33</v>
      </c>
      <c r="I747" s="2">
        <v>6.92</v>
      </c>
      <c r="J747" s="2">
        <v>44588.07</v>
      </c>
      <c r="K747" s="2">
        <v>33070.68</v>
      </c>
    </row>
    <row r="748" spans="1:11" x14ac:dyDescent="0.3">
      <c r="A748" s="4" t="s">
        <v>736</v>
      </c>
      <c r="B748" s="4" t="s">
        <v>1172</v>
      </c>
      <c r="C748" s="4" t="s">
        <v>17</v>
      </c>
      <c r="D748" s="1">
        <v>44418</v>
      </c>
      <c r="E748" s="4">
        <v>116365230</v>
      </c>
      <c r="F748" s="1">
        <v>44428</v>
      </c>
      <c r="G748" s="3">
        <v>3912</v>
      </c>
      <c r="H748" s="2">
        <v>437.2</v>
      </c>
      <c r="I748" s="2">
        <v>263.33</v>
      </c>
      <c r="J748" s="2">
        <v>1710326.4</v>
      </c>
      <c r="K748" s="2">
        <v>1030146.96</v>
      </c>
    </row>
    <row r="749" spans="1:11" x14ac:dyDescent="0.3">
      <c r="A749" s="4" t="s">
        <v>737</v>
      </c>
      <c r="B749" s="4" t="s">
        <v>1164</v>
      </c>
      <c r="C749" s="4" t="s">
        <v>19</v>
      </c>
      <c r="D749" s="1">
        <v>44558</v>
      </c>
      <c r="E749" s="4">
        <v>521671903</v>
      </c>
      <c r="F749" s="1">
        <v>44598</v>
      </c>
      <c r="G749" s="3">
        <v>3164</v>
      </c>
      <c r="H749" s="2">
        <v>205.7</v>
      </c>
      <c r="I749" s="2">
        <v>117.11</v>
      </c>
      <c r="J749" s="2">
        <v>650834.79999999993</v>
      </c>
      <c r="K749" s="2">
        <v>370536.04</v>
      </c>
    </row>
    <row r="750" spans="1:11" x14ac:dyDescent="0.3">
      <c r="A750" s="4" t="s">
        <v>738</v>
      </c>
      <c r="B750" s="4" t="s">
        <v>1170</v>
      </c>
      <c r="C750" s="4" t="s">
        <v>17</v>
      </c>
      <c r="D750" s="1">
        <v>44724</v>
      </c>
      <c r="E750" s="4">
        <v>200081908</v>
      </c>
      <c r="F750" s="1">
        <v>44724</v>
      </c>
      <c r="G750" s="3">
        <v>7538</v>
      </c>
      <c r="H750" s="2">
        <v>47.45</v>
      </c>
      <c r="I750" s="2">
        <v>31.79</v>
      </c>
      <c r="J750" s="2">
        <v>357678.10000000003</v>
      </c>
      <c r="K750" s="2">
        <v>239633.02</v>
      </c>
    </row>
    <row r="751" spans="1:11" x14ac:dyDescent="0.3">
      <c r="A751" s="4" t="s">
        <v>739</v>
      </c>
      <c r="B751" s="4" t="s">
        <v>1172</v>
      </c>
      <c r="C751" s="4" t="s">
        <v>12</v>
      </c>
      <c r="D751" s="1">
        <v>44792</v>
      </c>
      <c r="E751" s="4">
        <v>821956574</v>
      </c>
      <c r="F751" s="1">
        <v>44831</v>
      </c>
      <c r="G751" s="3">
        <v>4071</v>
      </c>
      <c r="H751" s="2">
        <v>437.2</v>
      </c>
      <c r="I751" s="2">
        <v>263.33</v>
      </c>
      <c r="J751" s="2">
        <v>1779841.2</v>
      </c>
      <c r="K751" s="2">
        <v>1072016.43</v>
      </c>
    </row>
    <row r="752" spans="1:11" x14ac:dyDescent="0.3">
      <c r="A752" s="4" t="s">
        <v>740</v>
      </c>
      <c r="B752" s="4" t="s">
        <v>1178</v>
      </c>
      <c r="C752" s="4" t="s">
        <v>14</v>
      </c>
      <c r="D752" s="1">
        <v>44262</v>
      </c>
      <c r="E752" s="4">
        <v>527969729</v>
      </c>
      <c r="F752" s="1">
        <v>44303</v>
      </c>
      <c r="G752" s="3">
        <v>6830</v>
      </c>
      <c r="H752" s="2">
        <v>154.06</v>
      </c>
      <c r="I752" s="2">
        <v>90.93</v>
      </c>
      <c r="J752" s="2">
        <v>1052229.8</v>
      </c>
      <c r="K752" s="2">
        <v>621051.9</v>
      </c>
    </row>
    <row r="753" spans="1:11" x14ac:dyDescent="0.3">
      <c r="A753" s="4" t="s">
        <v>741</v>
      </c>
      <c r="B753" s="4" t="s">
        <v>1170</v>
      </c>
      <c r="C753" s="4" t="s">
        <v>17</v>
      </c>
      <c r="D753" s="1">
        <v>44870</v>
      </c>
      <c r="E753" s="4">
        <v>679107701</v>
      </c>
      <c r="F753" s="1">
        <v>44872</v>
      </c>
      <c r="G753" s="3">
        <v>1915</v>
      </c>
      <c r="H753" s="2">
        <v>47.45</v>
      </c>
      <c r="I753" s="2">
        <v>31.79</v>
      </c>
      <c r="J753" s="2">
        <v>90866.75</v>
      </c>
      <c r="K753" s="2">
        <v>60877.85</v>
      </c>
    </row>
    <row r="754" spans="1:11" x14ac:dyDescent="0.3">
      <c r="A754" s="4" t="s">
        <v>742</v>
      </c>
      <c r="B754" s="4" t="s">
        <v>1178</v>
      </c>
      <c r="C754" s="4" t="s">
        <v>14</v>
      </c>
      <c r="D754" s="1">
        <v>44846</v>
      </c>
      <c r="E754" s="4">
        <v>906669318</v>
      </c>
      <c r="F754" s="1">
        <v>44858</v>
      </c>
      <c r="G754" s="3">
        <v>2454</v>
      </c>
      <c r="H754" s="2">
        <v>154.06</v>
      </c>
      <c r="I754" s="2">
        <v>90.93</v>
      </c>
      <c r="J754" s="2">
        <v>378063.24</v>
      </c>
      <c r="K754" s="2">
        <v>223142.22000000003</v>
      </c>
    </row>
    <row r="755" spans="1:11" x14ac:dyDescent="0.3">
      <c r="A755" s="4" t="s">
        <v>743</v>
      </c>
      <c r="B755" s="4" t="s">
        <v>1160</v>
      </c>
      <c r="C755" s="4" t="s">
        <v>17</v>
      </c>
      <c r="D755" s="1">
        <v>44651</v>
      </c>
      <c r="E755" s="4">
        <v>462265908</v>
      </c>
      <c r="F755" s="1">
        <v>44670</v>
      </c>
      <c r="G755" s="3">
        <v>3610</v>
      </c>
      <c r="H755" s="2">
        <v>152.58000000000001</v>
      </c>
      <c r="I755" s="2">
        <v>97.44</v>
      </c>
      <c r="J755" s="2">
        <v>550813.80000000005</v>
      </c>
      <c r="K755" s="2">
        <v>351758.39999999997</v>
      </c>
    </row>
    <row r="756" spans="1:11" x14ac:dyDescent="0.3">
      <c r="A756" s="4" t="s">
        <v>744</v>
      </c>
      <c r="B756" s="4" t="s">
        <v>1160</v>
      </c>
      <c r="C756" s="4" t="s">
        <v>17</v>
      </c>
      <c r="D756" s="1">
        <v>44375</v>
      </c>
      <c r="E756" s="4">
        <v>467821300</v>
      </c>
      <c r="F756" s="1">
        <v>44386</v>
      </c>
      <c r="G756" s="3">
        <v>7573</v>
      </c>
      <c r="H756" s="2">
        <v>152.58000000000001</v>
      </c>
      <c r="I756" s="2">
        <v>97.44</v>
      </c>
      <c r="J756" s="2">
        <v>1155488.3400000001</v>
      </c>
      <c r="K756" s="2">
        <v>737913.12</v>
      </c>
    </row>
    <row r="757" spans="1:11" x14ac:dyDescent="0.3">
      <c r="A757" s="4" t="s">
        <v>745</v>
      </c>
      <c r="B757" s="4" t="s">
        <v>1172</v>
      </c>
      <c r="C757" s="4" t="s">
        <v>14</v>
      </c>
      <c r="D757" s="1">
        <v>44253</v>
      </c>
      <c r="E757" s="4">
        <v>765571820</v>
      </c>
      <c r="F757" s="1">
        <v>44293</v>
      </c>
      <c r="G757" s="3">
        <v>8569</v>
      </c>
      <c r="H757" s="2">
        <v>437.2</v>
      </c>
      <c r="I757" s="2">
        <v>263.33</v>
      </c>
      <c r="J757" s="2">
        <v>3746366.8</v>
      </c>
      <c r="K757" s="2">
        <v>2256474.77</v>
      </c>
    </row>
    <row r="758" spans="1:11" x14ac:dyDescent="0.3">
      <c r="A758" s="4" t="s">
        <v>746</v>
      </c>
      <c r="B758" s="4" t="s">
        <v>1172</v>
      </c>
      <c r="C758" s="4" t="s">
        <v>12</v>
      </c>
      <c r="D758" s="1">
        <v>44144</v>
      </c>
      <c r="E758" s="4">
        <v>368066298</v>
      </c>
      <c r="F758" s="1">
        <v>44189</v>
      </c>
      <c r="G758" s="3">
        <v>7852</v>
      </c>
      <c r="H758" s="2">
        <v>437.2</v>
      </c>
      <c r="I758" s="2">
        <v>263.33</v>
      </c>
      <c r="J758" s="2">
        <v>3432894.4</v>
      </c>
      <c r="K758" s="2">
        <v>2067667.16</v>
      </c>
    </row>
    <row r="759" spans="1:11" x14ac:dyDescent="0.3">
      <c r="A759" s="4" t="s">
        <v>747</v>
      </c>
      <c r="B759" s="4" t="s">
        <v>1182</v>
      </c>
      <c r="C759" s="4" t="s">
        <v>19</v>
      </c>
      <c r="D759" s="1">
        <v>44055</v>
      </c>
      <c r="E759" s="4">
        <v>608166062</v>
      </c>
      <c r="F759" s="1">
        <v>44083</v>
      </c>
      <c r="G759" s="3">
        <v>8707</v>
      </c>
      <c r="H759" s="2">
        <v>668.27</v>
      </c>
      <c r="I759" s="2">
        <v>502.54</v>
      </c>
      <c r="J759" s="2">
        <v>5818626.8899999997</v>
      </c>
      <c r="K759" s="2">
        <v>4375615.78</v>
      </c>
    </row>
    <row r="760" spans="1:11" x14ac:dyDescent="0.3">
      <c r="A760" s="4" t="s">
        <v>748</v>
      </c>
      <c r="B760" s="4" t="s">
        <v>1180</v>
      </c>
      <c r="C760" s="4" t="s">
        <v>14</v>
      </c>
      <c r="D760" s="1">
        <v>44661</v>
      </c>
      <c r="E760" s="4">
        <v>189044940</v>
      </c>
      <c r="F760" s="1">
        <v>44693</v>
      </c>
      <c r="G760" s="3">
        <v>1454</v>
      </c>
      <c r="H760" s="2">
        <v>109.28</v>
      </c>
      <c r="I760" s="2">
        <v>35.840000000000003</v>
      </c>
      <c r="J760" s="2">
        <v>158893.12</v>
      </c>
      <c r="K760" s="2">
        <v>52111.360000000008</v>
      </c>
    </row>
    <row r="761" spans="1:11" x14ac:dyDescent="0.3">
      <c r="A761" s="4" t="s">
        <v>749</v>
      </c>
      <c r="B761" s="4" t="s">
        <v>1164</v>
      </c>
      <c r="C761" s="4" t="s">
        <v>12</v>
      </c>
      <c r="D761" s="1">
        <v>44696</v>
      </c>
      <c r="E761" s="4">
        <v>134189260</v>
      </c>
      <c r="F761" s="1">
        <v>44705</v>
      </c>
      <c r="G761" s="3">
        <v>8439</v>
      </c>
      <c r="H761" s="2">
        <v>205.7</v>
      </c>
      <c r="I761" s="2">
        <v>117.11</v>
      </c>
      <c r="J761" s="2">
        <v>1735902.2999999998</v>
      </c>
      <c r="K761" s="2">
        <v>988291.29</v>
      </c>
    </row>
    <row r="762" spans="1:11" x14ac:dyDescent="0.3">
      <c r="A762" s="4" t="s">
        <v>750</v>
      </c>
      <c r="B762" s="4" t="s">
        <v>1174</v>
      </c>
      <c r="C762" s="4" t="s">
        <v>17</v>
      </c>
      <c r="D762" s="1">
        <v>44609</v>
      </c>
      <c r="E762" s="4">
        <v>637397849</v>
      </c>
      <c r="F762" s="1">
        <v>44613</v>
      </c>
      <c r="G762" s="3">
        <v>9043</v>
      </c>
      <c r="H762" s="2">
        <v>81.73</v>
      </c>
      <c r="I762" s="2">
        <v>56.67</v>
      </c>
      <c r="J762" s="2">
        <v>739084.39</v>
      </c>
      <c r="K762" s="2">
        <v>512466.81</v>
      </c>
    </row>
    <row r="763" spans="1:11" x14ac:dyDescent="0.3">
      <c r="A763" s="4" t="s">
        <v>751</v>
      </c>
      <c r="B763" s="4" t="s">
        <v>1180</v>
      </c>
      <c r="C763" s="4" t="s">
        <v>14</v>
      </c>
      <c r="D763" s="1">
        <v>43947</v>
      </c>
      <c r="E763" s="4">
        <v>612782037</v>
      </c>
      <c r="F763" s="1">
        <v>43970</v>
      </c>
      <c r="G763" s="3">
        <v>4677</v>
      </c>
      <c r="H763" s="2">
        <v>109.28</v>
      </c>
      <c r="I763" s="2">
        <v>35.840000000000003</v>
      </c>
      <c r="J763" s="2">
        <v>511102.56</v>
      </c>
      <c r="K763" s="2">
        <v>167623.68000000002</v>
      </c>
    </row>
    <row r="764" spans="1:11" x14ac:dyDescent="0.3">
      <c r="A764" s="4" t="s">
        <v>752</v>
      </c>
      <c r="B764" s="4" t="s">
        <v>1176</v>
      </c>
      <c r="C764" s="4" t="s">
        <v>12</v>
      </c>
      <c r="D764" s="1">
        <v>43975</v>
      </c>
      <c r="E764" s="4">
        <v>844765651</v>
      </c>
      <c r="F764" s="1">
        <v>43983</v>
      </c>
      <c r="G764" s="3">
        <v>3783</v>
      </c>
      <c r="H764" s="2">
        <v>651.21</v>
      </c>
      <c r="I764" s="2">
        <v>524.96</v>
      </c>
      <c r="J764" s="2">
        <v>2463527.4300000002</v>
      </c>
      <c r="K764" s="2">
        <v>1985923.6800000002</v>
      </c>
    </row>
    <row r="765" spans="1:11" x14ac:dyDescent="0.3">
      <c r="A765" s="4" t="s">
        <v>753</v>
      </c>
      <c r="B765" s="4" t="s">
        <v>1170</v>
      </c>
      <c r="C765" s="4" t="s">
        <v>19</v>
      </c>
      <c r="D765" s="1">
        <v>44014</v>
      </c>
      <c r="E765" s="4">
        <v>838085019</v>
      </c>
      <c r="F765" s="1">
        <v>44033</v>
      </c>
      <c r="G765" s="3">
        <v>6836</v>
      </c>
      <c r="H765" s="2">
        <v>47.45</v>
      </c>
      <c r="I765" s="2">
        <v>31.79</v>
      </c>
      <c r="J765" s="2">
        <v>324368.2</v>
      </c>
      <c r="K765" s="2">
        <v>217316.44</v>
      </c>
    </row>
    <row r="766" spans="1:11" x14ac:dyDescent="0.3">
      <c r="A766" s="4" t="s">
        <v>754</v>
      </c>
      <c r="B766" s="4" t="s">
        <v>1160</v>
      </c>
      <c r="C766" s="4" t="s">
        <v>19</v>
      </c>
      <c r="D766" s="1">
        <v>44054</v>
      </c>
      <c r="E766" s="4">
        <v>167788970</v>
      </c>
      <c r="F766" s="1">
        <v>44054</v>
      </c>
      <c r="G766" s="3">
        <v>1340</v>
      </c>
      <c r="H766" s="2">
        <v>152.58000000000001</v>
      </c>
      <c r="I766" s="2">
        <v>97.44</v>
      </c>
      <c r="J766" s="2">
        <v>204457.2</v>
      </c>
      <c r="K766" s="2">
        <v>130569.59999999999</v>
      </c>
    </row>
    <row r="767" spans="1:11" x14ac:dyDescent="0.3">
      <c r="A767" s="4" t="s">
        <v>755</v>
      </c>
      <c r="B767" s="4" t="s">
        <v>1176</v>
      </c>
      <c r="C767" s="4" t="s">
        <v>17</v>
      </c>
      <c r="D767" s="1">
        <v>44232</v>
      </c>
      <c r="E767" s="4">
        <v>729238831</v>
      </c>
      <c r="F767" s="1">
        <v>44243</v>
      </c>
      <c r="G767" s="3">
        <v>6830</v>
      </c>
      <c r="H767" s="2">
        <v>651.21</v>
      </c>
      <c r="I767" s="2">
        <v>524.96</v>
      </c>
      <c r="J767" s="2">
        <v>4447764.3</v>
      </c>
      <c r="K767" s="2">
        <v>3585476.8000000003</v>
      </c>
    </row>
    <row r="768" spans="1:11" x14ac:dyDescent="0.3">
      <c r="A768" s="4" t="s">
        <v>756</v>
      </c>
      <c r="B768" s="4" t="s">
        <v>1168</v>
      </c>
      <c r="C768" s="4" t="s">
        <v>19</v>
      </c>
      <c r="D768" s="1">
        <v>44310</v>
      </c>
      <c r="E768" s="4">
        <v>888108432</v>
      </c>
      <c r="F768" s="1">
        <v>44360</v>
      </c>
      <c r="G768" s="3">
        <v>9876</v>
      </c>
      <c r="H768" s="2">
        <v>255.28</v>
      </c>
      <c r="I768" s="2">
        <v>159.41999999999999</v>
      </c>
      <c r="J768" s="2">
        <v>2521145.2799999998</v>
      </c>
      <c r="K768" s="2">
        <v>1574431.92</v>
      </c>
    </row>
    <row r="769" spans="1:11" x14ac:dyDescent="0.3">
      <c r="A769" s="4" t="s">
        <v>757</v>
      </c>
      <c r="B769" s="4" t="s">
        <v>1160</v>
      </c>
      <c r="C769" s="4" t="s">
        <v>14</v>
      </c>
      <c r="D769" s="1">
        <v>44197</v>
      </c>
      <c r="E769" s="4">
        <v>430384099</v>
      </c>
      <c r="F769" s="1">
        <v>44223</v>
      </c>
      <c r="G769" s="3">
        <v>9074</v>
      </c>
      <c r="H769" s="2">
        <v>152.58000000000001</v>
      </c>
      <c r="I769" s="2">
        <v>97.44</v>
      </c>
      <c r="J769" s="2">
        <v>1384510.9200000002</v>
      </c>
      <c r="K769" s="2">
        <v>884170.55999999994</v>
      </c>
    </row>
    <row r="770" spans="1:11" x14ac:dyDescent="0.3">
      <c r="A770" s="4" t="s">
        <v>758</v>
      </c>
      <c r="B770" s="4" t="s">
        <v>1164</v>
      </c>
      <c r="C770" s="4" t="s">
        <v>14</v>
      </c>
      <c r="D770" s="1">
        <v>44470</v>
      </c>
      <c r="E770" s="4">
        <v>112364661</v>
      </c>
      <c r="F770" s="1">
        <v>44509</v>
      </c>
      <c r="G770" s="3">
        <v>55</v>
      </c>
      <c r="H770" s="2">
        <v>205.7</v>
      </c>
      <c r="I770" s="2">
        <v>117.11</v>
      </c>
      <c r="J770" s="2">
        <v>11313.5</v>
      </c>
      <c r="K770" s="2">
        <v>6441.05</v>
      </c>
    </row>
    <row r="771" spans="1:11" x14ac:dyDescent="0.3">
      <c r="A771" s="4" t="s">
        <v>616</v>
      </c>
      <c r="B771" s="4" t="s">
        <v>1182</v>
      </c>
      <c r="C771" s="4" t="s">
        <v>14</v>
      </c>
      <c r="D771" s="1">
        <v>44811</v>
      </c>
      <c r="E771" s="4">
        <v>310661447</v>
      </c>
      <c r="F771" s="1">
        <v>44812</v>
      </c>
      <c r="G771" s="3">
        <v>480</v>
      </c>
      <c r="H771" s="2">
        <v>668.27</v>
      </c>
      <c r="I771" s="2">
        <v>502.54</v>
      </c>
      <c r="J771" s="2">
        <v>320769.59999999998</v>
      </c>
      <c r="K771" s="2">
        <v>241219.20000000001</v>
      </c>
    </row>
    <row r="772" spans="1:11" x14ac:dyDescent="0.3">
      <c r="A772" s="4" t="s">
        <v>759</v>
      </c>
      <c r="B772" s="4" t="s">
        <v>1180</v>
      </c>
      <c r="C772" s="4" t="s">
        <v>19</v>
      </c>
      <c r="D772" s="1">
        <v>44523</v>
      </c>
      <c r="E772" s="4">
        <v>572198283</v>
      </c>
      <c r="F772" s="1">
        <v>44536</v>
      </c>
      <c r="G772" s="3">
        <v>5042</v>
      </c>
      <c r="H772" s="2">
        <v>109.28</v>
      </c>
      <c r="I772" s="2">
        <v>35.840000000000003</v>
      </c>
      <c r="J772" s="2">
        <v>550989.76</v>
      </c>
      <c r="K772" s="2">
        <v>180705.28000000003</v>
      </c>
    </row>
    <row r="773" spans="1:11" x14ac:dyDescent="0.3">
      <c r="A773" s="4" t="s">
        <v>760</v>
      </c>
      <c r="B773" s="4" t="s">
        <v>1164</v>
      </c>
      <c r="C773" s="4" t="s">
        <v>19</v>
      </c>
      <c r="D773" s="1">
        <v>44103</v>
      </c>
      <c r="E773" s="4">
        <v>964211499</v>
      </c>
      <c r="F773" s="1">
        <v>44142</v>
      </c>
      <c r="G773" s="3">
        <v>464</v>
      </c>
      <c r="H773" s="2">
        <v>205.7</v>
      </c>
      <c r="I773" s="2">
        <v>117.11</v>
      </c>
      <c r="J773" s="2">
        <v>95444.799999999988</v>
      </c>
      <c r="K773" s="2">
        <v>54339.040000000001</v>
      </c>
    </row>
    <row r="774" spans="1:11" x14ac:dyDescent="0.3">
      <c r="A774" s="4" t="s">
        <v>761</v>
      </c>
      <c r="B774" s="4" t="s">
        <v>1182</v>
      </c>
      <c r="C774" s="4" t="s">
        <v>14</v>
      </c>
      <c r="D774" s="1">
        <v>44716</v>
      </c>
      <c r="E774" s="4">
        <v>724249923</v>
      </c>
      <c r="F774" s="1">
        <v>44745</v>
      </c>
      <c r="G774" s="3">
        <v>501</v>
      </c>
      <c r="H774" s="2">
        <v>668.27</v>
      </c>
      <c r="I774" s="2">
        <v>502.54</v>
      </c>
      <c r="J774" s="2">
        <v>334803.27</v>
      </c>
      <c r="K774" s="2">
        <v>251772.54</v>
      </c>
    </row>
    <row r="775" spans="1:11" x14ac:dyDescent="0.3">
      <c r="A775" s="4" t="s">
        <v>762</v>
      </c>
      <c r="B775" s="4" t="s">
        <v>1168</v>
      </c>
      <c r="C775" s="4" t="s">
        <v>12</v>
      </c>
      <c r="D775" s="1">
        <v>44541</v>
      </c>
      <c r="E775" s="4">
        <v>510174882</v>
      </c>
      <c r="F775" s="1">
        <v>44542</v>
      </c>
      <c r="G775" s="3">
        <v>940</v>
      </c>
      <c r="H775" s="2">
        <v>255.28</v>
      </c>
      <c r="I775" s="2">
        <v>159.41999999999999</v>
      </c>
      <c r="J775" s="2">
        <v>239963.2</v>
      </c>
      <c r="K775" s="2">
        <v>149854.79999999999</v>
      </c>
    </row>
    <row r="776" spans="1:11" x14ac:dyDescent="0.3">
      <c r="A776" s="4" t="s">
        <v>763</v>
      </c>
      <c r="B776" s="4" t="s">
        <v>1170</v>
      </c>
      <c r="C776" s="4" t="s">
        <v>14</v>
      </c>
      <c r="D776" s="1">
        <v>44515</v>
      </c>
      <c r="E776" s="4">
        <v>150160205</v>
      </c>
      <c r="F776" s="1">
        <v>44522</v>
      </c>
      <c r="G776" s="3">
        <v>4596</v>
      </c>
      <c r="H776" s="2">
        <v>47.45</v>
      </c>
      <c r="I776" s="2">
        <v>31.79</v>
      </c>
      <c r="J776" s="2">
        <v>218080.2</v>
      </c>
      <c r="K776" s="2">
        <v>146106.84</v>
      </c>
    </row>
    <row r="777" spans="1:11" x14ac:dyDescent="0.3">
      <c r="A777" s="4" t="s">
        <v>764</v>
      </c>
      <c r="B777" s="4" t="s">
        <v>1170</v>
      </c>
      <c r="C777" s="4" t="s">
        <v>19</v>
      </c>
      <c r="D777" s="1">
        <v>44678</v>
      </c>
      <c r="E777" s="4">
        <v>892692220</v>
      </c>
      <c r="F777" s="1">
        <v>44692</v>
      </c>
      <c r="G777" s="3">
        <v>6320</v>
      </c>
      <c r="H777" s="2">
        <v>47.45</v>
      </c>
      <c r="I777" s="2">
        <v>31.79</v>
      </c>
      <c r="J777" s="2">
        <v>299884</v>
      </c>
      <c r="K777" s="2">
        <v>200912.8</v>
      </c>
    </row>
    <row r="778" spans="1:11" x14ac:dyDescent="0.3">
      <c r="A778" s="4" t="s">
        <v>765</v>
      </c>
      <c r="B778" s="4" t="s">
        <v>1182</v>
      </c>
      <c r="C778" s="4" t="s">
        <v>19</v>
      </c>
      <c r="D778" s="1">
        <v>44692</v>
      </c>
      <c r="E778" s="4">
        <v>456569755</v>
      </c>
      <c r="F778" s="1">
        <v>44721</v>
      </c>
      <c r="G778" s="3">
        <v>7991</v>
      </c>
      <c r="H778" s="2">
        <v>668.27</v>
      </c>
      <c r="I778" s="2">
        <v>502.54</v>
      </c>
      <c r="J778" s="2">
        <v>5340145.57</v>
      </c>
      <c r="K778" s="2">
        <v>4015797.14</v>
      </c>
    </row>
    <row r="779" spans="1:11" x14ac:dyDescent="0.3">
      <c r="A779" s="4" t="s">
        <v>766</v>
      </c>
      <c r="B779" s="4" t="s">
        <v>1176</v>
      </c>
      <c r="C779" s="4" t="s">
        <v>19</v>
      </c>
      <c r="D779" s="1">
        <v>44370</v>
      </c>
      <c r="E779" s="4">
        <v>680904138</v>
      </c>
      <c r="F779" s="1">
        <v>44388</v>
      </c>
      <c r="G779" s="3">
        <v>3520</v>
      </c>
      <c r="H779" s="2">
        <v>651.21</v>
      </c>
      <c r="I779" s="2">
        <v>524.96</v>
      </c>
      <c r="J779" s="2">
        <v>2292259.2000000002</v>
      </c>
      <c r="K779" s="2">
        <v>1847859.2000000002</v>
      </c>
    </row>
    <row r="780" spans="1:11" x14ac:dyDescent="0.3">
      <c r="A780" s="4" t="s">
        <v>767</v>
      </c>
      <c r="B780" s="4" t="s">
        <v>1182</v>
      </c>
      <c r="C780" s="4" t="s">
        <v>19</v>
      </c>
      <c r="D780" s="1">
        <v>44190</v>
      </c>
      <c r="E780" s="4">
        <v>775119197</v>
      </c>
      <c r="F780" s="1">
        <v>44229</v>
      </c>
      <c r="G780" s="3">
        <v>3850</v>
      </c>
      <c r="H780" s="2">
        <v>668.27</v>
      </c>
      <c r="I780" s="2">
        <v>502.54</v>
      </c>
      <c r="J780" s="2">
        <v>2572839.5</v>
      </c>
      <c r="K780" s="2">
        <v>1934779</v>
      </c>
    </row>
    <row r="781" spans="1:11" x14ac:dyDescent="0.3">
      <c r="A781" s="4" t="s">
        <v>574</v>
      </c>
      <c r="B781" s="4" t="s">
        <v>1162</v>
      </c>
      <c r="C781" s="4" t="s">
        <v>17</v>
      </c>
      <c r="D781" s="1">
        <v>44780</v>
      </c>
      <c r="E781" s="4">
        <v>468951261</v>
      </c>
      <c r="F781" s="1">
        <v>44792</v>
      </c>
      <c r="G781" s="3">
        <v>1954</v>
      </c>
      <c r="H781" s="2">
        <v>421.89</v>
      </c>
      <c r="I781" s="2">
        <v>364.69</v>
      </c>
      <c r="J781" s="2">
        <v>824373.05999999994</v>
      </c>
      <c r="K781" s="2">
        <v>712604.26</v>
      </c>
    </row>
    <row r="782" spans="1:11" x14ac:dyDescent="0.3">
      <c r="A782" s="4" t="s">
        <v>768</v>
      </c>
      <c r="B782" s="4" t="s">
        <v>1176</v>
      </c>
      <c r="C782" s="4" t="s">
        <v>17</v>
      </c>
      <c r="D782" s="1">
        <v>44302</v>
      </c>
      <c r="E782" s="4">
        <v>462449157</v>
      </c>
      <c r="F782" s="1">
        <v>44347</v>
      </c>
      <c r="G782" s="3">
        <v>7837</v>
      </c>
      <c r="H782" s="2">
        <v>651.21</v>
      </c>
      <c r="I782" s="2">
        <v>524.96</v>
      </c>
      <c r="J782" s="2">
        <v>5103532.7700000005</v>
      </c>
      <c r="K782" s="2">
        <v>4114111.5200000005</v>
      </c>
    </row>
    <row r="783" spans="1:11" x14ac:dyDescent="0.3">
      <c r="A783" s="4" t="s">
        <v>769</v>
      </c>
      <c r="B783" s="4" t="s">
        <v>1172</v>
      </c>
      <c r="C783" s="4" t="s">
        <v>14</v>
      </c>
      <c r="D783" s="1">
        <v>44199</v>
      </c>
      <c r="E783" s="4">
        <v>175974214</v>
      </c>
      <c r="F783" s="1">
        <v>44209</v>
      </c>
      <c r="G783" s="3">
        <v>3535</v>
      </c>
      <c r="H783" s="2">
        <v>437.2</v>
      </c>
      <c r="I783" s="2">
        <v>263.33</v>
      </c>
      <c r="J783" s="2">
        <v>1545502</v>
      </c>
      <c r="K783" s="2">
        <v>930871.54999999993</v>
      </c>
    </row>
    <row r="784" spans="1:11" x14ac:dyDescent="0.3">
      <c r="A784" s="4" t="s">
        <v>770</v>
      </c>
      <c r="B784" s="4" t="s">
        <v>1172</v>
      </c>
      <c r="C784" s="4" t="s">
        <v>17</v>
      </c>
      <c r="D784" s="1">
        <v>44493</v>
      </c>
      <c r="E784" s="4">
        <v>900200259</v>
      </c>
      <c r="F784" s="1">
        <v>44510</v>
      </c>
      <c r="G784" s="3">
        <v>8116</v>
      </c>
      <c r="H784" s="2">
        <v>437.2</v>
      </c>
      <c r="I784" s="2">
        <v>263.33</v>
      </c>
      <c r="J784" s="2">
        <v>3548315.1999999997</v>
      </c>
      <c r="K784" s="2">
        <v>2137186.2799999998</v>
      </c>
    </row>
    <row r="785" spans="1:11" x14ac:dyDescent="0.3">
      <c r="A785" s="4" t="s">
        <v>771</v>
      </c>
      <c r="B785" s="4" t="s">
        <v>1164</v>
      </c>
      <c r="C785" s="4" t="s">
        <v>12</v>
      </c>
      <c r="D785" s="1">
        <v>44311</v>
      </c>
      <c r="E785" s="4">
        <v>846113622</v>
      </c>
      <c r="F785" s="1">
        <v>44350</v>
      </c>
      <c r="G785" s="3">
        <v>2678</v>
      </c>
      <c r="H785" s="2">
        <v>205.7</v>
      </c>
      <c r="I785" s="2">
        <v>117.11</v>
      </c>
      <c r="J785" s="2">
        <v>550864.6</v>
      </c>
      <c r="K785" s="2">
        <v>313620.58</v>
      </c>
    </row>
    <row r="786" spans="1:11" x14ac:dyDescent="0.3">
      <c r="A786" s="4" t="s">
        <v>772</v>
      </c>
      <c r="B786" s="4" t="s">
        <v>1168</v>
      </c>
      <c r="C786" s="4" t="s">
        <v>14</v>
      </c>
      <c r="D786" s="1">
        <v>44491</v>
      </c>
      <c r="E786" s="4">
        <v>995013129</v>
      </c>
      <c r="F786" s="1">
        <v>44527</v>
      </c>
      <c r="G786" s="3">
        <v>5351</v>
      </c>
      <c r="H786" s="2">
        <v>255.28</v>
      </c>
      <c r="I786" s="2">
        <v>159.41999999999999</v>
      </c>
      <c r="J786" s="2">
        <v>1366003.28</v>
      </c>
      <c r="K786" s="2">
        <v>853056.41999999993</v>
      </c>
    </row>
    <row r="787" spans="1:11" x14ac:dyDescent="0.3">
      <c r="A787" s="4" t="s">
        <v>773</v>
      </c>
      <c r="B787" s="4" t="s">
        <v>1174</v>
      </c>
      <c r="C787" s="4" t="s">
        <v>12</v>
      </c>
      <c r="D787" s="1">
        <v>43930</v>
      </c>
      <c r="E787" s="4">
        <v>148510110</v>
      </c>
      <c r="F787" s="1">
        <v>43965</v>
      </c>
      <c r="G787" s="3">
        <v>6297</v>
      </c>
      <c r="H787" s="2">
        <v>81.73</v>
      </c>
      <c r="I787" s="2">
        <v>56.67</v>
      </c>
      <c r="J787" s="2">
        <v>514653.81</v>
      </c>
      <c r="K787" s="2">
        <v>356850.99</v>
      </c>
    </row>
    <row r="788" spans="1:11" x14ac:dyDescent="0.3">
      <c r="A788" s="4" t="s">
        <v>774</v>
      </c>
      <c r="B788" s="4" t="s">
        <v>1180</v>
      </c>
      <c r="C788" s="4" t="s">
        <v>19</v>
      </c>
      <c r="D788" s="1">
        <v>44282</v>
      </c>
      <c r="E788" s="4">
        <v>778528392</v>
      </c>
      <c r="F788" s="1">
        <v>44330</v>
      </c>
      <c r="G788" s="3">
        <v>2707</v>
      </c>
      <c r="H788" s="2">
        <v>109.28</v>
      </c>
      <c r="I788" s="2">
        <v>35.840000000000003</v>
      </c>
      <c r="J788" s="2">
        <v>295820.96000000002</v>
      </c>
      <c r="K788" s="2">
        <v>97018.880000000005</v>
      </c>
    </row>
    <row r="789" spans="1:11" x14ac:dyDescent="0.3">
      <c r="A789" s="4" t="s">
        <v>775</v>
      </c>
      <c r="B789" s="4" t="s">
        <v>1170</v>
      </c>
      <c r="C789" s="4" t="s">
        <v>19</v>
      </c>
      <c r="D789" s="1">
        <v>44218</v>
      </c>
      <c r="E789" s="4">
        <v>477304303</v>
      </c>
      <c r="F789" s="1">
        <v>44219</v>
      </c>
      <c r="G789" s="3">
        <v>3805</v>
      </c>
      <c r="H789" s="2">
        <v>47.45</v>
      </c>
      <c r="I789" s="2">
        <v>31.79</v>
      </c>
      <c r="J789" s="2">
        <v>180547.25</v>
      </c>
      <c r="K789" s="2">
        <v>120960.95</v>
      </c>
    </row>
    <row r="790" spans="1:11" x14ac:dyDescent="0.3">
      <c r="A790" s="4" t="s">
        <v>776</v>
      </c>
      <c r="B790" s="4" t="s">
        <v>1160</v>
      </c>
      <c r="C790" s="4" t="s">
        <v>14</v>
      </c>
      <c r="D790" s="1">
        <v>44117</v>
      </c>
      <c r="E790" s="4">
        <v>507386672</v>
      </c>
      <c r="F790" s="1">
        <v>44126</v>
      </c>
      <c r="G790" s="3">
        <v>5846</v>
      </c>
      <c r="H790" s="2">
        <v>152.58000000000001</v>
      </c>
      <c r="I790" s="2">
        <v>97.44</v>
      </c>
      <c r="J790" s="2">
        <v>891982.68</v>
      </c>
      <c r="K790" s="2">
        <v>569634.24</v>
      </c>
    </row>
    <row r="791" spans="1:11" x14ac:dyDescent="0.3">
      <c r="A791" s="4" t="s">
        <v>777</v>
      </c>
      <c r="B791" s="4" t="s">
        <v>1160</v>
      </c>
      <c r="C791" s="4" t="s">
        <v>12</v>
      </c>
      <c r="D791" s="1">
        <v>44510</v>
      </c>
      <c r="E791" s="4">
        <v>851636826</v>
      </c>
      <c r="F791" s="1">
        <v>44510</v>
      </c>
      <c r="G791" s="3">
        <v>7117</v>
      </c>
      <c r="H791" s="2">
        <v>152.58000000000001</v>
      </c>
      <c r="I791" s="2">
        <v>97.44</v>
      </c>
      <c r="J791" s="2">
        <v>1085911.8600000001</v>
      </c>
      <c r="K791" s="2">
        <v>693480.48</v>
      </c>
    </row>
    <row r="792" spans="1:11" x14ac:dyDescent="0.3">
      <c r="A792" s="4" t="s">
        <v>273</v>
      </c>
      <c r="B792" s="4" t="s">
        <v>1162</v>
      </c>
      <c r="C792" s="4" t="s">
        <v>14</v>
      </c>
      <c r="D792" s="1">
        <v>44504</v>
      </c>
      <c r="E792" s="4">
        <v>663228595</v>
      </c>
      <c r="F792" s="1">
        <v>44545</v>
      </c>
      <c r="G792" s="3">
        <v>2934</v>
      </c>
      <c r="H792" s="2">
        <v>421.89</v>
      </c>
      <c r="I792" s="2">
        <v>364.69</v>
      </c>
      <c r="J792" s="2">
        <v>1237825.26</v>
      </c>
      <c r="K792" s="2">
        <v>1070000.46</v>
      </c>
    </row>
    <row r="793" spans="1:11" x14ac:dyDescent="0.3">
      <c r="A793" s="4" t="s">
        <v>778</v>
      </c>
      <c r="B793" s="4" t="s">
        <v>1164</v>
      </c>
      <c r="C793" s="4" t="s">
        <v>17</v>
      </c>
      <c r="D793" s="1">
        <v>44402</v>
      </c>
      <c r="E793" s="4">
        <v>515648305</v>
      </c>
      <c r="F793" s="1">
        <v>44411</v>
      </c>
      <c r="G793" s="3">
        <v>647</v>
      </c>
      <c r="H793" s="2">
        <v>205.7</v>
      </c>
      <c r="I793" s="2">
        <v>117.11</v>
      </c>
      <c r="J793" s="2">
        <v>133087.9</v>
      </c>
      <c r="K793" s="2">
        <v>75770.17</v>
      </c>
    </row>
    <row r="794" spans="1:11" x14ac:dyDescent="0.3">
      <c r="A794" s="4" t="s">
        <v>779</v>
      </c>
      <c r="B794" s="4" t="s">
        <v>1170</v>
      </c>
      <c r="C794" s="4" t="s">
        <v>14</v>
      </c>
      <c r="D794" s="1">
        <v>44127</v>
      </c>
      <c r="E794" s="4">
        <v>152694785</v>
      </c>
      <c r="F794" s="1">
        <v>44151</v>
      </c>
      <c r="G794" s="3">
        <v>4635</v>
      </c>
      <c r="H794" s="2">
        <v>47.45</v>
      </c>
      <c r="I794" s="2">
        <v>31.79</v>
      </c>
      <c r="J794" s="2">
        <v>219930.75</v>
      </c>
      <c r="K794" s="2">
        <v>147346.65</v>
      </c>
    </row>
    <row r="795" spans="1:11" x14ac:dyDescent="0.3">
      <c r="A795" s="4" t="s">
        <v>780</v>
      </c>
      <c r="B795" s="4" t="s">
        <v>1164</v>
      </c>
      <c r="C795" s="4" t="s">
        <v>14</v>
      </c>
      <c r="D795" s="1">
        <v>44796</v>
      </c>
      <c r="E795" s="4">
        <v>738479363</v>
      </c>
      <c r="F795" s="1">
        <v>44811</v>
      </c>
      <c r="G795" s="3">
        <v>1309</v>
      </c>
      <c r="H795" s="2">
        <v>205.7</v>
      </c>
      <c r="I795" s="2">
        <v>117.11</v>
      </c>
      <c r="J795" s="2">
        <v>269261.3</v>
      </c>
      <c r="K795" s="2">
        <v>153296.99</v>
      </c>
    </row>
    <row r="796" spans="1:11" x14ac:dyDescent="0.3">
      <c r="A796" s="4" t="s">
        <v>781</v>
      </c>
      <c r="B796" s="4" t="s">
        <v>1160</v>
      </c>
      <c r="C796" s="4" t="s">
        <v>19</v>
      </c>
      <c r="D796" s="1">
        <v>44017</v>
      </c>
      <c r="E796" s="4">
        <v>807425868</v>
      </c>
      <c r="F796" s="1">
        <v>44019</v>
      </c>
      <c r="G796" s="3">
        <v>4112</v>
      </c>
      <c r="H796" s="2">
        <v>152.58000000000001</v>
      </c>
      <c r="I796" s="2">
        <v>97.44</v>
      </c>
      <c r="J796" s="2">
        <v>627408.96000000008</v>
      </c>
      <c r="K796" s="2">
        <v>400673.27999999997</v>
      </c>
    </row>
    <row r="797" spans="1:11" x14ac:dyDescent="0.3">
      <c r="A797" s="4" t="s">
        <v>782</v>
      </c>
      <c r="B797" s="4" t="s">
        <v>1170</v>
      </c>
      <c r="C797" s="4" t="s">
        <v>12</v>
      </c>
      <c r="D797" s="1">
        <v>44766</v>
      </c>
      <c r="E797" s="4">
        <v>314270627</v>
      </c>
      <c r="F797" s="1">
        <v>44785</v>
      </c>
      <c r="G797" s="3">
        <v>8517</v>
      </c>
      <c r="H797" s="2">
        <v>47.45</v>
      </c>
      <c r="I797" s="2">
        <v>31.79</v>
      </c>
      <c r="J797" s="2">
        <v>404131.65</v>
      </c>
      <c r="K797" s="2">
        <v>270755.43</v>
      </c>
    </row>
    <row r="798" spans="1:11" x14ac:dyDescent="0.3">
      <c r="A798" s="4" t="s">
        <v>783</v>
      </c>
      <c r="B798" s="4" t="s">
        <v>1182</v>
      </c>
      <c r="C798" s="4" t="s">
        <v>17</v>
      </c>
      <c r="D798" s="1">
        <v>44423</v>
      </c>
      <c r="E798" s="4">
        <v>184062469</v>
      </c>
      <c r="F798" s="1">
        <v>44459</v>
      </c>
      <c r="G798" s="3">
        <v>7030</v>
      </c>
      <c r="H798" s="2">
        <v>668.27</v>
      </c>
      <c r="I798" s="2">
        <v>502.54</v>
      </c>
      <c r="J798" s="2">
        <v>4697938.0999999996</v>
      </c>
      <c r="K798" s="2">
        <v>3532856.2</v>
      </c>
    </row>
    <row r="799" spans="1:11" x14ac:dyDescent="0.3">
      <c r="A799" s="4" t="s">
        <v>784</v>
      </c>
      <c r="B799" s="4" t="s">
        <v>1174</v>
      </c>
      <c r="C799" s="4" t="s">
        <v>17</v>
      </c>
      <c r="D799" s="1">
        <v>44691</v>
      </c>
      <c r="E799" s="4">
        <v>962162721</v>
      </c>
      <c r="F799" s="1">
        <v>44727</v>
      </c>
      <c r="G799" s="3">
        <v>4185</v>
      </c>
      <c r="H799" s="2">
        <v>81.73</v>
      </c>
      <c r="I799" s="2">
        <v>56.67</v>
      </c>
      <c r="J799" s="2">
        <v>342040.05</v>
      </c>
      <c r="K799" s="2">
        <v>237163.95</v>
      </c>
    </row>
    <row r="800" spans="1:11" x14ac:dyDescent="0.3">
      <c r="A800" s="4" t="s">
        <v>785</v>
      </c>
      <c r="B800" s="4" t="s">
        <v>1180</v>
      </c>
      <c r="C800" s="4" t="s">
        <v>12</v>
      </c>
      <c r="D800" s="1">
        <v>44811</v>
      </c>
      <c r="E800" s="4">
        <v>564245212</v>
      </c>
      <c r="F800" s="1">
        <v>44853</v>
      </c>
      <c r="G800" s="3">
        <v>1552</v>
      </c>
      <c r="H800" s="2">
        <v>109.28</v>
      </c>
      <c r="I800" s="2">
        <v>35.840000000000003</v>
      </c>
      <c r="J800" s="2">
        <v>169602.56</v>
      </c>
      <c r="K800" s="2">
        <v>55623.680000000008</v>
      </c>
    </row>
    <row r="801" spans="1:11" x14ac:dyDescent="0.3">
      <c r="A801" s="4" t="s">
        <v>786</v>
      </c>
      <c r="B801" s="4" t="s">
        <v>1182</v>
      </c>
      <c r="C801" s="4" t="s">
        <v>19</v>
      </c>
      <c r="D801" s="1">
        <v>44168</v>
      </c>
      <c r="E801" s="4">
        <v>126296269</v>
      </c>
      <c r="F801" s="1">
        <v>44208</v>
      </c>
      <c r="G801" s="3">
        <v>2728</v>
      </c>
      <c r="H801" s="2">
        <v>668.27</v>
      </c>
      <c r="I801" s="2">
        <v>502.54</v>
      </c>
      <c r="J801" s="2">
        <v>1823040.56</v>
      </c>
      <c r="K801" s="2">
        <v>1370929.12</v>
      </c>
    </row>
    <row r="802" spans="1:11" x14ac:dyDescent="0.3">
      <c r="A802" s="4" t="s">
        <v>787</v>
      </c>
      <c r="B802" s="4" t="s">
        <v>1172</v>
      </c>
      <c r="C802" s="4" t="s">
        <v>17</v>
      </c>
      <c r="D802" s="1">
        <v>43863</v>
      </c>
      <c r="E802" s="4">
        <v>854614722</v>
      </c>
      <c r="F802" s="1">
        <v>43866</v>
      </c>
      <c r="G802" s="3">
        <v>8343</v>
      </c>
      <c r="H802" s="2">
        <v>437.2</v>
      </c>
      <c r="I802" s="2">
        <v>263.33</v>
      </c>
      <c r="J802" s="2">
        <v>3647559.6</v>
      </c>
      <c r="K802" s="2">
        <v>2196962.19</v>
      </c>
    </row>
    <row r="803" spans="1:11" x14ac:dyDescent="0.3">
      <c r="A803" s="4" t="s">
        <v>788</v>
      </c>
      <c r="B803" s="4" t="s">
        <v>1174</v>
      </c>
      <c r="C803" s="4" t="s">
        <v>14</v>
      </c>
      <c r="D803" s="1">
        <v>44097</v>
      </c>
      <c r="E803" s="4">
        <v>875811898</v>
      </c>
      <c r="F803" s="1">
        <v>44117</v>
      </c>
      <c r="G803" s="3">
        <v>1058</v>
      </c>
      <c r="H803" s="2">
        <v>81.73</v>
      </c>
      <c r="I803" s="2">
        <v>56.67</v>
      </c>
      <c r="J803" s="2">
        <v>86470.340000000011</v>
      </c>
      <c r="K803" s="2">
        <v>59956.86</v>
      </c>
    </row>
    <row r="804" spans="1:11" x14ac:dyDescent="0.3">
      <c r="A804" s="4" t="s">
        <v>789</v>
      </c>
      <c r="B804" s="4" t="s">
        <v>1174</v>
      </c>
      <c r="C804" s="4" t="s">
        <v>12</v>
      </c>
      <c r="D804" s="1">
        <v>44699</v>
      </c>
      <c r="E804" s="4">
        <v>186811625</v>
      </c>
      <c r="F804" s="1">
        <v>44715</v>
      </c>
      <c r="G804" s="3">
        <v>566</v>
      </c>
      <c r="H804" s="2">
        <v>81.73</v>
      </c>
      <c r="I804" s="2">
        <v>56.67</v>
      </c>
      <c r="J804" s="2">
        <v>46259.18</v>
      </c>
      <c r="K804" s="2">
        <v>32075.22</v>
      </c>
    </row>
    <row r="805" spans="1:11" x14ac:dyDescent="0.3">
      <c r="A805" s="4" t="s">
        <v>790</v>
      </c>
      <c r="B805" s="4" t="s">
        <v>1162</v>
      </c>
      <c r="C805" s="4" t="s">
        <v>12</v>
      </c>
      <c r="D805" s="1">
        <v>44598</v>
      </c>
      <c r="E805" s="4">
        <v>204850232</v>
      </c>
      <c r="F805" s="1">
        <v>44626</v>
      </c>
      <c r="G805" s="3">
        <v>8591</v>
      </c>
      <c r="H805" s="2">
        <v>421.89</v>
      </c>
      <c r="I805" s="2">
        <v>364.69</v>
      </c>
      <c r="J805" s="2">
        <v>3624456.9899999998</v>
      </c>
      <c r="K805" s="2">
        <v>3133051.79</v>
      </c>
    </row>
    <row r="806" spans="1:11" x14ac:dyDescent="0.3">
      <c r="A806" s="4" t="s">
        <v>791</v>
      </c>
      <c r="B806" s="4" t="s">
        <v>1182</v>
      </c>
      <c r="C806" s="4" t="s">
        <v>12</v>
      </c>
      <c r="D806" s="1">
        <v>44436</v>
      </c>
      <c r="E806" s="4">
        <v>617476546</v>
      </c>
      <c r="F806" s="1">
        <v>44472</v>
      </c>
      <c r="G806" s="3">
        <v>3887</v>
      </c>
      <c r="H806" s="2">
        <v>668.27</v>
      </c>
      <c r="I806" s="2">
        <v>502.54</v>
      </c>
      <c r="J806" s="2">
        <v>2597565.4899999998</v>
      </c>
      <c r="K806" s="2">
        <v>1953372.98</v>
      </c>
    </row>
    <row r="807" spans="1:11" x14ac:dyDescent="0.3">
      <c r="A807" s="4" t="s">
        <v>792</v>
      </c>
      <c r="B807" s="4" t="s">
        <v>1166</v>
      </c>
      <c r="C807" s="4" t="s">
        <v>12</v>
      </c>
      <c r="D807" s="1">
        <v>43960</v>
      </c>
      <c r="E807" s="4">
        <v>732551896</v>
      </c>
      <c r="F807" s="1">
        <v>43987</v>
      </c>
      <c r="G807" s="3">
        <v>7240</v>
      </c>
      <c r="H807" s="2">
        <v>9.33</v>
      </c>
      <c r="I807" s="2">
        <v>6.92</v>
      </c>
      <c r="J807" s="2">
        <v>67549.2</v>
      </c>
      <c r="K807" s="2">
        <v>50100.800000000003</v>
      </c>
    </row>
    <row r="808" spans="1:11" x14ac:dyDescent="0.3">
      <c r="A808" s="4" t="s">
        <v>44</v>
      </c>
      <c r="B808" s="4" t="s">
        <v>1174</v>
      </c>
      <c r="C808" s="4" t="s">
        <v>14</v>
      </c>
      <c r="D808" s="1">
        <v>44628</v>
      </c>
      <c r="E808" s="4">
        <v>828250110</v>
      </c>
      <c r="F808" s="1">
        <v>44661</v>
      </c>
      <c r="G808" s="3">
        <v>6468</v>
      </c>
      <c r="H808" s="2">
        <v>81.73</v>
      </c>
      <c r="I808" s="2">
        <v>56.67</v>
      </c>
      <c r="J808" s="2">
        <v>528629.64</v>
      </c>
      <c r="K808" s="2">
        <v>366541.56</v>
      </c>
    </row>
    <row r="809" spans="1:11" x14ac:dyDescent="0.3">
      <c r="A809" s="4" t="s">
        <v>793</v>
      </c>
      <c r="B809" s="4" t="s">
        <v>1174</v>
      </c>
      <c r="C809" s="4" t="s">
        <v>19</v>
      </c>
      <c r="D809" s="1">
        <v>43869</v>
      </c>
      <c r="E809" s="4">
        <v>803057515</v>
      </c>
      <c r="F809" s="1">
        <v>43912</v>
      </c>
      <c r="G809" s="3">
        <v>1419</v>
      </c>
      <c r="H809" s="2">
        <v>81.73</v>
      </c>
      <c r="I809" s="2">
        <v>56.67</v>
      </c>
      <c r="J809" s="2">
        <v>115974.87000000001</v>
      </c>
      <c r="K809" s="2">
        <v>80414.73</v>
      </c>
    </row>
    <row r="810" spans="1:11" x14ac:dyDescent="0.3">
      <c r="A810" s="4" t="s">
        <v>794</v>
      </c>
      <c r="B810" s="4" t="s">
        <v>1176</v>
      </c>
      <c r="C810" s="4" t="s">
        <v>19</v>
      </c>
      <c r="D810" s="1">
        <v>43958</v>
      </c>
      <c r="E810" s="4">
        <v>625772941</v>
      </c>
      <c r="F810" s="1">
        <v>43997</v>
      </c>
      <c r="G810" s="3">
        <v>8974</v>
      </c>
      <c r="H810" s="2">
        <v>651.21</v>
      </c>
      <c r="I810" s="2">
        <v>524.96</v>
      </c>
      <c r="J810" s="2">
        <v>5843958.54</v>
      </c>
      <c r="K810" s="2">
        <v>4710991.04</v>
      </c>
    </row>
    <row r="811" spans="1:11" x14ac:dyDescent="0.3">
      <c r="A811" s="4" t="s">
        <v>795</v>
      </c>
      <c r="B811" s="4" t="s">
        <v>1160</v>
      </c>
      <c r="C811" s="4" t="s">
        <v>14</v>
      </c>
      <c r="D811" s="1">
        <v>44182</v>
      </c>
      <c r="E811" s="4">
        <v>785507714</v>
      </c>
      <c r="F811" s="1">
        <v>44196</v>
      </c>
      <c r="G811" s="3">
        <v>8043</v>
      </c>
      <c r="H811" s="2">
        <v>152.58000000000001</v>
      </c>
      <c r="I811" s="2">
        <v>97.44</v>
      </c>
      <c r="J811" s="2">
        <v>1227200.9400000002</v>
      </c>
      <c r="K811" s="2">
        <v>783709.91999999993</v>
      </c>
    </row>
    <row r="812" spans="1:11" x14ac:dyDescent="0.3">
      <c r="A812" s="4" t="s">
        <v>796</v>
      </c>
      <c r="B812" s="4" t="s">
        <v>1170</v>
      </c>
      <c r="C812" s="4" t="s">
        <v>12</v>
      </c>
      <c r="D812" s="1">
        <v>44501</v>
      </c>
      <c r="E812" s="4">
        <v>941685664</v>
      </c>
      <c r="F812" s="1">
        <v>44551</v>
      </c>
      <c r="G812" s="3">
        <v>4569</v>
      </c>
      <c r="H812" s="2">
        <v>47.45</v>
      </c>
      <c r="I812" s="2">
        <v>31.79</v>
      </c>
      <c r="J812" s="2">
        <v>216799.05000000002</v>
      </c>
      <c r="K812" s="2">
        <v>145248.51</v>
      </c>
    </row>
    <row r="813" spans="1:11" x14ac:dyDescent="0.3">
      <c r="A813" s="4" t="s">
        <v>797</v>
      </c>
      <c r="B813" s="4" t="s">
        <v>1166</v>
      </c>
      <c r="C813" s="4" t="s">
        <v>19</v>
      </c>
      <c r="D813" s="1">
        <v>43973</v>
      </c>
      <c r="E813" s="4">
        <v>374043118</v>
      </c>
      <c r="F813" s="1">
        <v>44014</v>
      </c>
      <c r="G813" s="3">
        <v>6526</v>
      </c>
      <c r="H813" s="2">
        <v>9.33</v>
      </c>
      <c r="I813" s="2">
        <v>6.92</v>
      </c>
      <c r="J813" s="2">
        <v>60887.58</v>
      </c>
      <c r="K813" s="2">
        <v>45159.92</v>
      </c>
    </row>
    <row r="814" spans="1:11" x14ac:dyDescent="0.3">
      <c r="A814" s="4" t="s">
        <v>16</v>
      </c>
      <c r="B814" s="4" t="s">
        <v>1174</v>
      </c>
      <c r="C814" s="4" t="s">
        <v>19</v>
      </c>
      <c r="D814" s="1">
        <v>44418</v>
      </c>
      <c r="E814" s="4">
        <v>232628905</v>
      </c>
      <c r="F814" s="1">
        <v>44440</v>
      </c>
      <c r="G814" s="3">
        <v>8917</v>
      </c>
      <c r="H814" s="2">
        <v>81.73</v>
      </c>
      <c r="I814" s="2">
        <v>56.67</v>
      </c>
      <c r="J814" s="2">
        <v>728786.41</v>
      </c>
      <c r="K814" s="2">
        <v>505326.39</v>
      </c>
    </row>
    <row r="815" spans="1:11" x14ac:dyDescent="0.3">
      <c r="A815" s="4" t="s">
        <v>798</v>
      </c>
      <c r="B815" s="4" t="s">
        <v>1174</v>
      </c>
      <c r="C815" s="4" t="s">
        <v>17</v>
      </c>
      <c r="D815" s="1">
        <v>44666</v>
      </c>
      <c r="E815" s="4">
        <v>387804353</v>
      </c>
      <c r="F815" s="1">
        <v>44704</v>
      </c>
      <c r="G815" s="3">
        <v>8781</v>
      </c>
      <c r="H815" s="2">
        <v>81.73</v>
      </c>
      <c r="I815" s="2">
        <v>56.67</v>
      </c>
      <c r="J815" s="2">
        <v>717671.13</v>
      </c>
      <c r="K815" s="2">
        <v>497619.27</v>
      </c>
    </row>
    <row r="816" spans="1:11" x14ac:dyDescent="0.3">
      <c r="A816" s="4" t="s">
        <v>799</v>
      </c>
      <c r="B816" s="4" t="s">
        <v>1180</v>
      </c>
      <c r="C816" s="4" t="s">
        <v>12</v>
      </c>
      <c r="D816" s="1">
        <v>44219</v>
      </c>
      <c r="E816" s="4">
        <v>780243289</v>
      </c>
      <c r="F816" s="1">
        <v>44244</v>
      </c>
      <c r="G816" s="3">
        <v>183</v>
      </c>
      <c r="H816" s="2">
        <v>109.28</v>
      </c>
      <c r="I816" s="2">
        <v>35.840000000000003</v>
      </c>
      <c r="J816" s="2">
        <v>19998.240000000002</v>
      </c>
      <c r="K816" s="2">
        <v>6558.72</v>
      </c>
    </row>
    <row r="817" spans="1:11" x14ac:dyDescent="0.3">
      <c r="A817" s="4" t="s">
        <v>800</v>
      </c>
      <c r="B817" s="4" t="s">
        <v>1174</v>
      </c>
      <c r="C817" s="4" t="s">
        <v>19</v>
      </c>
      <c r="D817" s="1">
        <v>44812</v>
      </c>
      <c r="E817" s="4">
        <v>970932042</v>
      </c>
      <c r="F817" s="1">
        <v>44843</v>
      </c>
      <c r="G817" s="3">
        <v>9222</v>
      </c>
      <c r="H817" s="2">
        <v>81.73</v>
      </c>
      <c r="I817" s="2">
        <v>56.67</v>
      </c>
      <c r="J817" s="2">
        <v>753714.06</v>
      </c>
      <c r="K817" s="2">
        <v>522610.74</v>
      </c>
    </row>
    <row r="818" spans="1:11" x14ac:dyDescent="0.3">
      <c r="A818" s="4" t="s">
        <v>559</v>
      </c>
      <c r="B818" s="4" t="s">
        <v>1162</v>
      </c>
      <c r="C818" s="4" t="s">
        <v>14</v>
      </c>
      <c r="D818" s="1">
        <v>44674</v>
      </c>
      <c r="E818" s="4">
        <v>591169440</v>
      </c>
      <c r="F818" s="1">
        <v>44716</v>
      </c>
      <c r="G818" s="3">
        <v>9029</v>
      </c>
      <c r="H818" s="2">
        <v>421.89</v>
      </c>
      <c r="I818" s="2">
        <v>364.69</v>
      </c>
      <c r="J818" s="2">
        <v>3809244.81</v>
      </c>
      <c r="K818" s="2">
        <v>3292786.01</v>
      </c>
    </row>
    <row r="819" spans="1:11" x14ac:dyDescent="0.3">
      <c r="A819" s="4" t="s">
        <v>801</v>
      </c>
      <c r="B819" s="4" t="s">
        <v>1182</v>
      </c>
      <c r="C819" s="4" t="s">
        <v>17</v>
      </c>
      <c r="D819" s="1">
        <v>44269</v>
      </c>
      <c r="E819" s="4">
        <v>692566812</v>
      </c>
      <c r="F819" s="1">
        <v>44276</v>
      </c>
      <c r="G819" s="3">
        <v>4765</v>
      </c>
      <c r="H819" s="2">
        <v>668.27</v>
      </c>
      <c r="I819" s="2">
        <v>502.54</v>
      </c>
      <c r="J819" s="2">
        <v>3184306.55</v>
      </c>
      <c r="K819" s="2">
        <v>2394603.1</v>
      </c>
    </row>
    <row r="820" spans="1:11" x14ac:dyDescent="0.3">
      <c r="A820" s="4" t="s">
        <v>802</v>
      </c>
      <c r="B820" s="4" t="s">
        <v>1176</v>
      </c>
      <c r="C820" s="4" t="s">
        <v>17</v>
      </c>
      <c r="D820" s="1">
        <v>44728</v>
      </c>
      <c r="E820" s="4">
        <v>597047984</v>
      </c>
      <c r="F820" s="1">
        <v>44744</v>
      </c>
      <c r="G820" s="3">
        <v>8621</v>
      </c>
      <c r="H820" s="2">
        <v>651.21</v>
      </c>
      <c r="I820" s="2">
        <v>524.96</v>
      </c>
      <c r="J820" s="2">
        <v>5614081.4100000001</v>
      </c>
      <c r="K820" s="2">
        <v>4525680.16</v>
      </c>
    </row>
    <row r="821" spans="1:11" x14ac:dyDescent="0.3">
      <c r="A821" s="4" t="s">
        <v>803</v>
      </c>
      <c r="B821" s="4" t="s">
        <v>1170</v>
      </c>
      <c r="C821" s="4" t="s">
        <v>14</v>
      </c>
      <c r="D821" s="1">
        <v>44199</v>
      </c>
      <c r="E821" s="4">
        <v>146849286</v>
      </c>
      <c r="F821" s="1">
        <v>44219</v>
      </c>
      <c r="G821" s="3">
        <v>4822</v>
      </c>
      <c r="H821" s="2">
        <v>47.45</v>
      </c>
      <c r="I821" s="2">
        <v>31.79</v>
      </c>
      <c r="J821" s="2">
        <v>228803.90000000002</v>
      </c>
      <c r="K821" s="2">
        <v>153291.38</v>
      </c>
    </row>
    <row r="822" spans="1:11" x14ac:dyDescent="0.3">
      <c r="A822" s="4" t="s">
        <v>804</v>
      </c>
      <c r="B822" s="4" t="s">
        <v>1166</v>
      </c>
      <c r="C822" s="4" t="s">
        <v>14</v>
      </c>
      <c r="D822" s="1">
        <v>44629</v>
      </c>
      <c r="E822" s="4">
        <v>154519546</v>
      </c>
      <c r="F822" s="1">
        <v>44635</v>
      </c>
      <c r="G822" s="3">
        <v>4622</v>
      </c>
      <c r="H822" s="2">
        <v>9.33</v>
      </c>
      <c r="I822" s="2">
        <v>6.92</v>
      </c>
      <c r="J822" s="2">
        <v>43123.26</v>
      </c>
      <c r="K822" s="2">
        <v>31984.239999999998</v>
      </c>
    </row>
    <row r="823" spans="1:11" x14ac:dyDescent="0.3">
      <c r="A823" s="4" t="s">
        <v>805</v>
      </c>
      <c r="B823" s="4" t="s">
        <v>1166</v>
      </c>
      <c r="C823" s="4" t="s">
        <v>12</v>
      </c>
      <c r="D823" s="1">
        <v>43937</v>
      </c>
      <c r="E823" s="4">
        <v>152920091</v>
      </c>
      <c r="F823" s="1">
        <v>43968</v>
      </c>
      <c r="G823" s="3">
        <v>1308</v>
      </c>
      <c r="H823" s="2">
        <v>9.33</v>
      </c>
      <c r="I823" s="2">
        <v>6.92</v>
      </c>
      <c r="J823" s="2">
        <v>12203.64</v>
      </c>
      <c r="K823" s="2">
        <v>9051.36</v>
      </c>
    </row>
    <row r="824" spans="1:11" x14ac:dyDescent="0.3">
      <c r="A824" s="4" t="s">
        <v>806</v>
      </c>
      <c r="B824" s="4" t="s">
        <v>1164</v>
      </c>
      <c r="C824" s="4" t="s">
        <v>12</v>
      </c>
      <c r="D824" s="1">
        <v>43843</v>
      </c>
      <c r="E824" s="4">
        <v>645224750</v>
      </c>
      <c r="F824" s="1">
        <v>43875</v>
      </c>
      <c r="G824" s="3">
        <v>5197</v>
      </c>
      <c r="H824" s="2">
        <v>205.7</v>
      </c>
      <c r="I824" s="2">
        <v>117.11</v>
      </c>
      <c r="J824" s="2">
        <v>1069022.8999999999</v>
      </c>
      <c r="K824" s="2">
        <v>608620.67000000004</v>
      </c>
    </row>
    <row r="825" spans="1:11" x14ac:dyDescent="0.3">
      <c r="A825" s="4" t="s">
        <v>807</v>
      </c>
      <c r="B825" s="4" t="s">
        <v>1176</v>
      </c>
      <c r="C825" s="4" t="s">
        <v>12</v>
      </c>
      <c r="D825" s="1">
        <v>44124</v>
      </c>
      <c r="E825" s="4">
        <v>854919850</v>
      </c>
      <c r="F825" s="1">
        <v>44140</v>
      </c>
      <c r="G825" s="3">
        <v>8637</v>
      </c>
      <c r="H825" s="2">
        <v>651.21</v>
      </c>
      <c r="I825" s="2">
        <v>524.96</v>
      </c>
      <c r="J825" s="2">
        <v>5624500.7700000005</v>
      </c>
      <c r="K825" s="2">
        <v>4534079.5200000005</v>
      </c>
    </row>
    <row r="826" spans="1:11" x14ac:dyDescent="0.3">
      <c r="A826" s="4" t="s">
        <v>808</v>
      </c>
      <c r="B826" s="4" t="s">
        <v>1164</v>
      </c>
      <c r="C826" s="4" t="s">
        <v>12</v>
      </c>
      <c r="D826" s="1">
        <v>44184</v>
      </c>
      <c r="E826" s="4">
        <v>975804221</v>
      </c>
      <c r="F826" s="1">
        <v>44209</v>
      </c>
      <c r="G826" s="3">
        <v>1008</v>
      </c>
      <c r="H826" s="2">
        <v>205.7</v>
      </c>
      <c r="I826" s="2">
        <v>117.11</v>
      </c>
      <c r="J826" s="2">
        <v>207345.59999999998</v>
      </c>
      <c r="K826" s="2">
        <v>118046.88</v>
      </c>
    </row>
    <row r="827" spans="1:11" x14ac:dyDescent="0.3">
      <c r="A827" s="4" t="s">
        <v>739</v>
      </c>
      <c r="B827" s="4" t="s">
        <v>1182</v>
      </c>
      <c r="C827" s="4" t="s">
        <v>17</v>
      </c>
      <c r="D827" s="1">
        <v>44617</v>
      </c>
      <c r="E827" s="4">
        <v>821989190</v>
      </c>
      <c r="F827" s="1">
        <v>44631</v>
      </c>
      <c r="G827" s="3">
        <v>3723</v>
      </c>
      <c r="H827" s="2">
        <v>668.27</v>
      </c>
      <c r="I827" s="2">
        <v>502.54</v>
      </c>
      <c r="J827" s="2">
        <v>2487969.21</v>
      </c>
      <c r="K827" s="2">
        <v>1870956.4200000002</v>
      </c>
    </row>
    <row r="828" spans="1:11" x14ac:dyDescent="0.3">
      <c r="A828" s="4" t="s">
        <v>809</v>
      </c>
      <c r="B828" s="4" t="s">
        <v>1168</v>
      </c>
      <c r="C828" s="4" t="s">
        <v>17</v>
      </c>
      <c r="D828" s="1">
        <v>44597</v>
      </c>
      <c r="E828" s="4">
        <v>277898585</v>
      </c>
      <c r="F828" s="1">
        <v>44626</v>
      </c>
      <c r="G828" s="3">
        <v>5222</v>
      </c>
      <c r="H828" s="2">
        <v>255.28</v>
      </c>
      <c r="I828" s="2">
        <v>159.41999999999999</v>
      </c>
      <c r="J828" s="2">
        <v>1333072.1599999999</v>
      </c>
      <c r="K828" s="2">
        <v>832491.24</v>
      </c>
    </row>
    <row r="829" spans="1:11" x14ac:dyDescent="0.3">
      <c r="A829" s="4" t="s">
        <v>810</v>
      </c>
      <c r="B829" s="4" t="s">
        <v>1178</v>
      </c>
      <c r="C829" s="4" t="s">
        <v>17</v>
      </c>
      <c r="D829" s="1">
        <v>44490</v>
      </c>
      <c r="E829" s="4">
        <v>648268735</v>
      </c>
      <c r="F829" s="1">
        <v>44517</v>
      </c>
      <c r="G829" s="3">
        <v>5979</v>
      </c>
      <c r="H829" s="2">
        <v>154.06</v>
      </c>
      <c r="I829" s="2">
        <v>90.93</v>
      </c>
      <c r="J829" s="2">
        <v>921124.74</v>
      </c>
      <c r="K829" s="2">
        <v>543670.47000000009</v>
      </c>
    </row>
    <row r="830" spans="1:11" x14ac:dyDescent="0.3">
      <c r="A830" s="4" t="s">
        <v>747</v>
      </c>
      <c r="B830" s="4" t="s">
        <v>1166</v>
      </c>
      <c r="C830" s="4" t="s">
        <v>12</v>
      </c>
      <c r="D830" s="1">
        <v>44286</v>
      </c>
      <c r="E830" s="4">
        <v>608148467</v>
      </c>
      <c r="F830" s="1">
        <v>44289</v>
      </c>
      <c r="G830" s="3">
        <v>3501</v>
      </c>
      <c r="H830" s="2">
        <v>9.33</v>
      </c>
      <c r="I830" s="2">
        <v>6.92</v>
      </c>
      <c r="J830" s="2">
        <v>32664.33</v>
      </c>
      <c r="K830" s="2">
        <v>24226.92</v>
      </c>
    </row>
    <row r="831" spans="1:11" x14ac:dyDescent="0.3">
      <c r="A831" s="4" t="s">
        <v>811</v>
      </c>
      <c r="B831" s="4" t="s">
        <v>1164</v>
      </c>
      <c r="C831" s="4" t="s">
        <v>17</v>
      </c>
      <c r="D831" s="1">
        <v>44123</v>
      </c>
      <c r="E831" s="4">
        <v>252899110</v>
      </c>
      <c r="F831" s="1">
        <v>44140</v>
      </c>
      <c r="G831" s="3">
        <v>7321</v>
      </c>
      <c r="H831" s="2">
        <v>205.7</v>
      </c>
      <c r="I831" s="2">
        <v>117.11</v>
      </c>
      <c r="J831" s="2">
        <v>1505929.7</v>
      </c>
      <c r="K831" s="2">
        <v>857362.30999999994</v>
      </c>
    </row>
    <row r="832" spans="1:11" x14ac:dyDescent="0.3">
      <c r="A832" s="4" t="s">
        <v>812</v>
      </c>
      <c r="B832" s="4" t="s">
        <v>1166</v>
      </c>
      <c r="C832" s="4" t="s">
        <v>14</v>
      </c>
      <c r="D832" s="1">
        <v>44805</v>
      </c>
      <c r="E832" s="4">
        <v>648194491</v>
      </c>
      <c r="F832" s="1">
        <v>44821</v>
      </c>
      <c r="G832" s="3">
        <v>4009</v>
      </c>
      <c r="H832" s="2">
        <v>9.33</v>
      </c>
      <c r="I832" s="2">
        <v>6.92</v>
      </c>
      <c r="J832" s="2">
        <v>37403.97</v>
      </c>
      <c r="K832" s="2">
        <v>27742.28</v>
      </c>
    </row>
    <row r="833" spans="1:11" x14ac:dyDescent="0.3">
      <c r="A833" s="4" t="s">
        <v>813</v>
      </c>
      <c r="B833" s="4" t="s">
        <v>1160</v>
      </c>
      <c r="C833" s="4" t="s">
        <v>14</v>
      </c>
      <c r="D833" s="1">
        <v>44155</v>
      </c>
      <c r="E833" s="4">
        <v>680020940</v>
      </c>
      <c r="F833" s="1">
        <v>44166</v>
      </c>
      <c r="G833" s="3">
        <v>2163</v>
      </c>
      <c r="H833" s="2">
        <v>152.58000000000001</v>
      </c>
      <c r="I833" s="2">
        <v>97.44</v>
      </c>
      <c r="J833" s="2">
        <v>330030.54000000004</v>
      </c>
      <c r="K833" s="2">
        <v>210762.72</v>
      </c>
    </row>
    <row r="834" spans="1:11" x14ac:dyDescent="0.3">
      <c r="A834" s="4" t="s">
        <v>814</v>
      </c>
      <c r="B834" s="4" t="s">
        <v>1168</v>
      </c>
      <c r="C834" s="4" t="s">
        <v>12</v>
      </c>
      <c r="D834" s="1">
        <v>44837</v>
      </c>
      <c r="E834" s="4">
        <v>204677283</v>
      </c>
      <c r="F834" s="1">
        <v>44837</v>
      </c>
      <c r="G834" s="3">
        <v>7411</v>
      </c>
      <c r="H834" s="2">
        <v>255.28</v>
      </c>
      <c r="I834" s="2">
        <v>159.41999999999999</v>
      </c>
      <c r="J834" s="2">
        <v>1891880.08</v>
      </c>
      <c r="K834" s="2">
        <v>1181461.6199999999</v>
      </c>
    </row>
    <row r="835" spans="1:11" x14ac:dyDescent="0.3">
      <c r="A835" s="4" t="s">
        <v>815</v>
      </c>
      <c r="B835" s="4" t="s">
        <v>1180</v>
      </c>
      <c r="C835" s="4" t="s">
        <v>19</v>
      </c>
      <c r="D835" s="1">
        <v>44444</v>
      </c>
      <c r="E835" s="4">
        <v>498774850</v>
      </c>
      <c r="F835" s="1">
        <v>44491</v>
      </c>
      <c r="G835" s="3">
        <v>7417</v>
      </c>
      <c r="H835" s="2">
        <v>109.28</v>
      </c>
      <c r="I835" s="2">
        <v>35.840000000000003</v>
      </c>
      <c r="J835" s="2">
        <v>810529.76</v>
      </c>
      <c r="K835" s="2">
        <v>265825.28000000003</v>
      </c>
    </row>
    <row r="836" spans="1:11" x14ac:dyDescent="0.3">
      <c r="A836" s="4" t="s">
        <v>816</v>
      </c>
      <c r="B836" s="4" t="s">
        <v>1166</v>
      </c>
      <c r="C836" s="4" t="s">
        <v>14</v>
      </c>
      <c r="D836" s="1">
        <v>44369</v>
      </c>
      <c r="E836" s="4">
        <v>209237468</v>
      </c>
      <c r="F836" s="1">
        <v>44369</v>
      </c>
      <c r="G836" s="3">
        <v>6871</v>
      </c>
      <c r="H836" s="2">
        <v>9.33</v>
      </c>
      <c r="I836" s="2">
        <v>6.92</v>
      </c>
      <c r="J836" s="2">
        <v>64106.43</v>
      </c>
      <c r="K836" s="2">
        <v>47547.32</v>
      </c>
    </row>
    <row r="837" spans="1:11" x14ac:dyDescent="0.3">
      <c r="A837" s="4" t="s">
        <v>817</v>
      </c>
      <c r="B837" s="4" t="s">
        <v>1172</v>
      </c>
      <c r="C837" s="4" t="s">
        <v>12</v>
      </c>
      <c r="D837" s="1">
        <v>44065</v>
      </c>
      <c r="E837" s="4">
        <v>303301465</v>
      </c>
      <c r="F837" s="1">
        <v>44090</v>
      </c>
      <c r="G837" s="3">
        <v>2498</v>
      </c>
      <c r="H837" s="2">
        <v>437.2</v>
      </c>
      <c r="I837" s="2">
        <v>263.33</v>
      </c>
      <c r="J837" s="2">
        <v>1092125.5999999999</v>
      </c>
      <c r="K837" s="2">
        <v>657798.34</v>
      </c>
    </row>
    <row r="838" spans="1:11" x14ac:dyDescent="0.3">
      <c r="A838" s="4" t="s">
        <v>818</v>
      </c>
      <c r="B838" s="4" t="s">
        <v>1162</v>
      </c>
      <c r="C838" s="4" t="s">
        <v>14</v>
      </c>
      <c r="D838" s="1">
        <v>44695</v>
      </c>
      <c r="E838" s="4">
        <v>918515670</v>
      </c>
      <c r="F838" s="1">
        <v>44719</v>
      </c>
      <c r="G838" s="3">
        <v>8053</v>
      </c>
      <c r="H838" s="2">
        <v>421.89</v>
      </c>
      <c r="I838" s="2">
        <v>364.69</v>
      </c>
      <c r="J838" s="2">
        <v>3397480.17</v>
      </c>
      <c r="K838" s="2">
        <v>2936848.57</v>
      </c>
    </row>
    <row r="839" spans="1:11" x14ac:dyDescent="0.3">
      <c r="A839" s="4" t="s">
        <v>819</v>
      </c>
      <c r="B839" s="4" t="s">
        <v>1160</v>
      </c>
      <c r="C839" s="4" t="s">
        <v>17</v>
      </c>
      <c r="D839" s="1">
        <v>44440</v>
      </c>
      <c r="E839" s="4">
        <v>912741410</v>
      </c>
      <c r="F839" s="1">
        <v>44450</v>
      </c>
      <c r="G839" s="3">
        <v>9321</v>
      </c>
      <c r="H839" s="2">
        <v>152.58000000000001</v>
      </c>
      <c r="I839" s="2">
        <v>97.44</v>
      </c>
      <c r="J839" s="2">
        <v>1422198.1800000002</v>
      </c>
      <c r="K839" s="2">
        <v>908238.24</v>
      </c>
    </row>
    <row r="840" spans="1:11" x14ac:dyDescent="0.3">
      <c r="A840" s="4" t="s">
        <v>820</v>
      </c>
      <c r="B840" s="4" t="s">
        <v>1164</v>
      </c>
      <c r="C840" s="4" t="s">
        <v>17</v>
      </c>
      <c r="D840" s="1">
        <v>44236</v>
      </c>
      <c r="E840" s="4">
        <v>114152514</v>
      </c>
      <c r="F840" s="1">
        <v>44276</v>
      </c>
      <c r="G840" s="3">
        <v>9121</v>
      </c>
      <c r="H840" s="2">
        <v>205.7</v>
      </c>
      <c r="I840" s="2">
        <v>117.11</v>
      </c>
      <c r="J840" s="2">
        <v>1876189.7</v>
      </c>
      <c r="K840" s="2">
        <v>1068160.31</v>
      </c>
    </row>
    <row r="841" spans="1:11" x14ac:dyDescent="0.3">
      <c r="A841" s="4" t="s">
        <v>821</v>
      </c>
      <c r="B841" s="4" t="s">
        <v>1174</v>
      </c>
      <c r="C841" s="4" t="s">
        <v>17</v>
      </c>
      <c r="D841" s="1">
        <v>44122</v>
      </c>
      <c r="E841" s="4">
        <v>671235311</v>
      </c>
      <c r="F841" s="1">
        <v>44150</v>
      </c>
      <c r="G841" s="3">
        <v>2300</v>
      </c>
      <c r="H841" s="2">
        <v>81.73</v>
      </c>
      <c r="I841" s="2">
        <v>56.67</v>
      </c>
      <c r="J841" s="2">
        <v>187979</v>
      </c>
      <c r="K841" s="2">
        <v>130341</v>
      </c>
    </row>
    <row r="842" spans="1:11" x14ac:dyDescent="0.3">
      <c r="A842" s="4" t="s">
        <v>822</v>
      </c>
      <c r="B842" s="4" t="s">
        <v>1168</v>
      </c>
      <c r="C842" s="4" t="s">
        <v>19</v>
      </c>
      <c r="D842" s="1">
        <v>44806</v>
      </c>
      <c r="E842" s="4">
        <v>302788627</v>
      </c>
      <c r="F842" s="1">
        <v>44837</v>
      </c>
      <c r="G842" s="3">
        <v>738</v>
      </c>
      <c r="H842" s="2">
        <v>255.28</v>
      </c>
      <c r="I842" s="2">
        <v>159.41999999999999</v>
      </c>
      <c r="J842" s="2">
        <v>188396.64</v>
      </c>
      <c r="K842" s="2">
        <v>117651.95999999999</v>
      </c>
    </row>
    <row r="843" spans="1:11" x14ac:dyDescent="0.3">
      <c r="A843" s="4" t="s">
        <v>823</v>
      </c>
      <c r="B843" s="4" t="s">
        <v>1174</v>
      </c>
      <c r="C843" s="4" t="s">
        <v>19</v>
      </c>
      <c r="D843" s="1">
        <v>44011</v>
      </c>
      <c r="E843" s="4">
        <v>847923791</v>
      </c>
      <c r="F843" s="1">
        <v>44028</v>
      </c>
      <c r="G843" s="3">
        <v>8347</v>
      </c>
      <c r="H843" s="2">
        <v>81.73</v>
      </c>
      <c r="I843" s="2">
        <v>56.67</v>
      </c>
      <c r="J843" s="2">
        <v>682200.31</v>
      </c>
      <c r="K843" s="2">
        <v>473024.49</v>
      </c>
    </row>
    <row r="844" spans="1:11" x14ac:dyDescent="0.3">
      <c r="A844" s="4" t="s">
        <v>824</v>
      </c>
      <c r="B844" s="4" t="s">
        <v>1168</v>
      </c>
      <c r="C844" s="4" t="s">
        <v>14</v>
      </c>
      <c r="D844" s="1">
        <v>44306</v>
      </c>
      <c r="E844" s="4">
        <v>616064631</v>
      </c>
      <c r="F844" s="1">
        <v>44348</v>
      </c>
      <c r="G844" s="3">
        <v>6070</v>
      </c>
      <c r="H844" s="2">
        <v>255.28</v>
      </c>
      <c r="I844" s="2">
        <v>159.41999999999999</v>
      </c>
      <c r="J844" s="2">
        <v>1549549.6</v>
      </c>
      <c r="K844" s="2">
        <v>967679.39999999991</v>
      </c>
    </row>
    <row r="845" spans="1:11" x14ac:dyDescent="0.3">
      <c r="A845" s="4" t="s">
        <v>825</v>
      </c>
      <c r="B845" s="4" t="s">
        <v>1166</v>
      </c>
      <c r="C845" s="4" t="s">
        <v>19</v>
      </c>
      <c r="D845" s="1">
        <v>44228</v>
      </c>
      <c r="E845" s="4">
        <v>236947476</v>
      </c>
      <c r="F845" s="1">
        <v>44255</v>
      </c>
      <c r="G845" s="3">
        <v>6879</v>
      </c>
      <c r="H845" s="2">
        <v>9.33</v>
      </c>
      <c r="I845" s="2">
        <v>6.92</v>
      </c>
      <c r="J845" s="2">
        <v>64181.07</v>
      </c>
      <c r="K845" s="2">
        <v>47602.68</v>
      </c>
    </row>
    <row r="846" spans="1:11" x14ac:dyDescent="0.3">
      <c r="A846" s="4" t="s">
        <v>826</v>
      </c>
      <c r="B846" s="4" t="s">
        <v>1182</v>
      </c>
      <c r="C846" s="4" t="s">
        <v>14</v>
      </c>
      <c r="D846" s="1">
        <v>44028</v>
      </c>
      <c r="E846" s="4">
        <v>410621154</v>
      </c>
      <c r="F846" s="1">
        <v>44058</v>
      </c>
      <c r="G846" s="3">
        <v>779</v>
      </c>
      <c r="H846" s="2">
        <v>668.27</v>
      </c>
      <c r="I846" s="2">
        <v>502.54</v>
      </c>
      <c r="J846" s="2">
        <v>520582.32999999996</v>
      </c>
      <c r="K846" s="2">
        <v>391478.66000000003</v>
      </c>
    </row>
    <row r="847" spans="1:11" x14ac:dyDescent="0.3">
      <c r="A847" s="4" t="s">
        <v>827</v>
      </c>
      <c r="B847" s="4" t="s">
        <v>1166</v>
      </c>
      <c r="C847" s="4" t="s">
        <v>17</v>
      </c>
      <c r="D847" s="1">
        <v>44105</v>
      </c>
      <c r="E847" s="4">
        <v>557446992</v>
      </c>
      <c r="F847" s="1">
        <v>44128</v>
      </c>
      <c r="G847" s="3">
        <v>9807</v>
      </c>
      <c r="H847" s="2">
        <v>9.33</v>
      </c>
      <c r="I847" s="2">
        <v>6.92</v>
      </c>
      <c r="J847" s="2">
        <v>91499.31</v>
      </c>
      <c r="K847" s="2">
        <v>67864.44</v>
      </c>
    </row>
    <row r="848" spans="1:11" x14ac:dyDescent="0.3">
      <c r="A848" s="4" t="s">
        <v>828</v>
      </c>
      <c r="B848" s="4" t="s">
        <v>1172</v>
      </c>
      <c r="C848" s="4" t="s">
        <v>14</v>
      </c>
      <c r="D848" s="1">
        <v>44482</v>
      </c>
      <c r="E848" s="4">
        <v>168098819</v>
      </c>
      <c r="F848" s="1">
        <v>44497</v>
      </c>
      <c r="G848" s="3">
        <v>3031</v>
      </c>
      <c r="H848" s="2">
        <v>437.2</v>
      </c>
      <c r="I848" s="2">
        <v>263.33</v>
      </c>
      <c r="J848" s="2">
        <v>1325153.2</v>
      </c>
      <c r="K848" s="2">
        <v>798153.23</v>
      </c>
    </row>
    <row r="849" spans="1:11" x14ac:dyDescent="0.3">
      <c r="A849" s="4" t="s">
        <v>829</v>
      </c>
      <c r="B849" s="4" t="s">
        <v>1178</v>
      </c>
      <c r="C849" s="4" t="s">
        <v>14</v>
      </c>
      <c r="D849" s="1">
        <v>44285</v>
      </c>
      <c r="E849" s="4">
        <v>153562963</v>
      </c>
      <c r="F849" s="1">
        <v>44315</v>
      </c>
      <c r="G849" s="3">
        <v>1548</v>
      </c>
      <c r="H849" s="2">
        <v>154.06</v>
      </c>
      <c r="I849" s="2">
        <v>90.93</v>
      </c>
      <c r="J849" s="2">
        <v>238484.88</v>
      </c>
      <c r="K849" s="2">
        <v>140759.64000000001</v>
      </c>
    </row>
    <row r="850" spans="1:11" x14ac:dyDescent="0.3">
      <c r="A850" s="4" t="s">
        <v>830</v>
      </c>
      <c r="B850" s="4" t="s">
        <v>1180</v>
      </c>
      <c r="C850" s="4" t="s">
        <v>17</v>
      </c>
      <c r="D850" s="1">
        <v>44352</v>
      </c>
      <c r="E850" s="4">
        <v>595138251</v>
      </c>
      <c r="F850" s="1">
        <v>44381</v>
      </c>
      <c r="G850" s="3">
        <v>3489</v>
      </c>
      <c r="H850" s="2">
        <v>109.28</v>
      </c>
      <c r="I850" s="2">
        <v>35.840000000000003</v>
      </c>
      <c r="J850" s="2">
        <v>381277.92</v>
      </c>
      <c r="K850" s="2">
        <v>125045.76000000001</v>
      </c>
    </row>
    <row r="851" spans="1:11" x14ac:dyDescent="0.3">
      <c r="A851" s="4" t="s">
        <v>831</v>
      </c>
      <c r="B851" s="4" t="s">
        <v>1168</v>
      </c>
      <c r="C851" s="4" t="s">
        <v>17</v>
      </c>
      <c r="D851" s="1">
        <v>44624</v>
      </c>
      <c r="E851" s="4">
        <v>294436013</v>
      </c>
      <c r="F851" s="1">
        <v>44662</v>
      </c>
      <c r="G851" s="3">
        <v>9014</v>
      </c>
      <c r="H851" s="2">
        <v>255.28</v>
      </c>
      <c r="I851" s="2">
        <v>159.41999999999999</v>
      </c>
      <c r="J851" s="2">
        <v>2301093.92</v>
      </c>
      <c r="K851" s="2">
        <v>1437011.88</v>
      </c>
    </row>
    <row r="852" spans="1:11" x14ac:dyDescent="0.3">
      <c r="A852" s="4" t="s">
        <v>832</v>
      </c>
      <c r="B852" s="4" t="s">
        <v>1168</v>
      </c>
      <c r="C852" s="4" t="s">
        <v>12</v>
      </c>
      <c r="D852" s="1">
        <v>44667</v>
      </c>
      <c r="E852" s="4">
        <v>823380076</v>
      </c>
      <c r="F852" s="1">
        <v>44684</v>
      </c>
      <c r="G852" s="3">
        <v>5317</v>
      </c>
      <c r="H852" s="2">
        <v>255.28</v>
      </c>
      <c r="I852" s="2">
        <v>159.41999999999999</v>
      </c>
      <c r="J852" s="2">
        <v>1357323.76</v>
      </c>
      <c r="K852" s="2">
        <v>847636.1399999999</v>
      </c>
    </row>
    <row r="853" spans="1:11" x14ac:dyDescent="0.3">
      <c r="A853" s="4" t="s">
        <v>833</v>
      </c>
      <c r="B853" s="4" t="s">
        <v>1166</v>
      </c>
      <c r="C853" s="4" t="s">
        <v>14</v>
      </c>
      <c r="D853" s="1">
        <v>44196</v>
      </c>
      <c r="E853" s="4">
        <v>674206769</v>
      </c>
      <c r="F853" s="1">
        <v>44242</v>
      </c>
      <c r="G853" s="3">
        <v>1620</v>
      </c>
      <c r="H853" s="2">
        <v>9.33</v>
      </c>
      <c r="I853" s="2">
        <v>6.92</v>
      </c>
      <c r="J853" s="2">
        <v>15114.6</v>
      </c>
      <c r="K853" s="2">
        <v>11210.4</v>
      </c>
    </row>
    <row r="854" spans="1:11" x14ac:dyDescent="0.3">
      <c r="A854" s="4" t="s">
        <v>834</v>
      </c>
      <c r="B854" s="4" t="s">
        <v>1176</v>
      </c>
      <c r="C854" s="4" t="s">
        <v>14</v>
      </c>
      <c r="D854" s="1">
        <v>44635</v>
      </c>
      <c r="E854" s="4">
        <v>209464919</v>
      </c>
      <c r="F854" s="1">
        <v>44671</v>
      </c>
      <c r="G854" s="3">
        <v>4179</v>
      </c>
      <c r="H854" s="2">
        <v>651.21</v>
      </c>
      <c r="I854" s="2">
        <v>524.96</v>
      </c>
      <c r="J854" s="2">
        <v>2721406.5900000003</v>
      </c>
      <c r="K854" s="2">
        <v>2193807.8400000003</v>
      </c>
    </row>
    <row r="855" spans="1:11" x14ac:dyDescent="0.3">
      <c r="A855" s="4" t="s">
        <v>835</v>
      </c>
      <c r="B855" s="4" t="s">
        <v>1168</v>
      </c>
      <c r="C855" s="4" t="s">
        <v>14</v>
      </c>
      <c r="D855" s="1">
        <v>44425</v>
      </c>
      <c r="E855" s="4">
        <v>312015855</v>
      </c>
      <c r="F855" s="1">
        <v>44442</v>
      </c>
      <c r="G855" s="3">
        <v>1280</v>
      </c>
      <c r="H855" s="2">
        <v>255.28</v>
      </c>
      <c r="I855" s="2">
        <v>159.41999999999999</v>
      </c>
      <c r="J855" s="2">
        <v>326758.40000000002</v>
      </c>
      <c r="K855" s="2">
        <v>204057.59999999998</v>
      </c>
    </row>
    <row r="856" spans="1:11" x14ac:dyDescent="0.3">
      <c r="A856" s="4" t="s">
        <v>836</v>
      </c>
      <c r="B856" s="4" t="s">
        <v>1162</v>
      </c>
      <c r="C856" s="4" t="s">
        <v>17</v>
      </c>
      <c r="D856" s="1">
        <v>44763</v>
      </c>
      <c r="E856" s="4">
        <v>135033404</v>
      </c>
      <c r="F856" s="1">
        <v>44768</v>
      </c>
      <c r="G856" s="3">
        <v>8240</v>
      </c>
      <c r="H856" s="2">
        <v>421.89</v>
      </c>
      <c r="I856" s="2">
        <v>364.69</v>
      </c>
      <c r="J856" s="2">
        <v>3476373.6</v>
      </c>
      <c r="K856" s="2">
        <v>3005045.6</v>
      </c>
    </row>
    <row r="857" spans="1:11" x14ac:dyDescent="0.3">
      <c r="A857" s="4" t="s">
        <v>837</v>
      </c>
      <c r="B857" s="4" t="s">
        <v>1168</v>
      </c>
      <c r="C857" s="4" t="s">
        <v>19</v>
      </c>
      <c r="D857" s="1">
        <v>43862</v>
      </c>
      <c r="E857" s="4">
        <v>252003896</v>
      </c>
      <c r="F857" s="1">
        <v>43892</v>
      </c>
      <c r="G857" s="3">
        <v>2408</v>
      </c>
      <c r="H857" s="2">
        <v>255.28</v>
      </c>
      <c r="I857" s="2">
        <v>159.41999999999999</v>
      </c>
      <c r="J857" s="2">
        <v>614714.24</v>
      </c>
      <c r="K857" s="2">
        <v>383883.36</v>
      </c>
    </row>
    <row r="858" spans="1:11" x14ac:dyDescent="0.3">
      <c r="A858" s="4" t="s">
        <v>838</v>
      </c>
      <c r="B858" s="4" t="s">
        <v>1168</v>
      </c>
      <c r="C858" s="4" t="s">
        <v>14</v>
      </c>
      <c r="D858" s="1">
        <v>44779</v>
      </c>
      <c r="E858" s="4">
        <v>406726157</v>
      </c>
      <c r="F858" s="1">
        <v>44786</v>
      </c>
      <c r="G858" s="3">
        <v>8163</v>
      </c>
      <c r="H858" s="2">
        <v>255.28</v>
      </c>
      <c r="I858" s="2">
        <v>159.41999999999999</v>
      </c>
      <c r="J858" s="2">
        <v>2083850.64</v>
      </c>
      <c r="K858" s="2">
        <v>1301345.46</v>
      </c>
    </row>
    <row r="859" spans="1:11" x14ac:dyDescent="0.3">
      <c r="A859" s="4" t="s">
        <v>302</v>
      </c>
      <c r="B859" s="4" t="s">
        <v>1174</v>
      </c>
      <c r="C859" s="4" t="s">
        <v>19</v>
      </c>
      <c r="D859" s="1">
        <v>44454</v>
      </c>
      <c r="E859" s="4">
        <v>863311517</v>
      </c>
      <c r="F859" s="1">
        <v>44475</v>
      </c>
      <c r="G859" s="3">
        <v>1917</v>
      </c>
      <c r="H859" s="2">
        <v>81.73</v>
      </c>
      <c r="I859" s="2">
        <v>56.67</v>
      </c>
      <c r="J859" s="2">
        <v>156676.41</v>
      </c>
      <c r="K859" s="2">
        <v>108636.39</v>
      </c>
    </row>
    <row r="860" spans="1:11" x14ac:dyDescent="0.3">
      <c r="A860" s="4" t="s">
        <v>839</v>
      </c>
      <c r="B860" s="4" t="s">
        <v>1170</v>
      </c>
      <c r="C860" s="4" t="s">
        <v>12</v>
      </c>
      <c r="D860" s="1">
        <v>44671</v>
      </c>
      <c r="E860" s="4">
        <v>156183803</v>
      </c>
      <c r="F860" s="1">
        <v>44709</v>
      </c>
      <c r="G860" s="3">
        <v>7113</v>
      </c>
      <c r="H860" s="2">
        <v>47.45</v>
      </c>
      <c r="I860" s="2">
        <v>31.79</v>
      </c>
      <c r="J860" s="2">
        <v>337511.85000000003</v>
      </c>
      <c r="K860" s="2">
        <v>226122.27</v>
      </c>
    </row>
    <row r="861" spans="1:11" x14ac:dyDescent="0.3">
      <c r="A861" s="4" t="s">
        <v>840</v>
      </c>
      <c r="B861" s="4" t="s">
        <v>1170</v>
      </c>
      <c r="C861" s="4" t="s">
        <v>17</v>
      </c>
      <c r="D861" s="1">
        <v>44230</v>
      </c>
      <c r="E861" s="4">
        <v>940079343</v>
      </c>
      <c r="F861" s="1">
        <v>44272</v>
      </c>
      <c r="G861" s="3">
        <v>9223</v>
      </c>
      <c r="H861" s="2">
        <v>47.45</v>
      </c>
      <c r="I861" s="2">
        <v>31.79</v>
      </c>
      <c r="J861" s="2">
        <v>437631.35000000003</v>
      </c>
      <c r="K861" s="2">
        <v>293199.17</v>
      </c>
    </row>
    <row r="862" spans="1:11" x14ac:dyDescent="0.3">
      <c r="A862" s="4" t="s">
        <v>841</v>
      </c>
      <c r="B862" s="4" t="s">
        <v>1182</v>
      </c>
      <c r="C862" s="4" t="s">
        <v>14</v>
      </c>
      <c r="D862" s="1">
        <v>44688</v>
      </c>
      <c r="E862" s="4">
        <v>540046966</v>
      </c>
      <c r="F862" s="1">
        <v>44690</v>
      </c>
      <c r="G862" s="3">
        <v>753</v>
      </c>
      <c r="H862" s="2">
        <v>668.27</v>
      </c>
      <c r="I862" s="2">
        <v>502.54</v>
      </c>
      <c r="J862" s="2">
        <v>503207.31</v>
      </c>
      <c r="K862" s="2">
        <v>378412.62</v>
      </c>
    </row>
    <row r="863" spans="1:11" x14ac:dyDescent="0.3">
      <c r="A863" s="4" t="s">
        <v>842</v>
      </c>
      <c r="B863" s="4" t="s">
        <v>1170</v>
      </c>
      <c r="C863" s="4" t="s">
        <v>19</v>
      </c>
      <c r="D863" s="1">
        <v>44614</v>
      </c>
      <c r="E863" s="4">
        <v>401447999</v>
      </c>
      <c r="F863" s="1">
        <v>44619</v>
      </c>
      <c r="G863" s="3">
        <v>6239</v>
      </c>
      <c r="H863" s="2">
        <v>47.45</v>
      </c>
      <c r="I863" s="2">
        <v>31.79</v>
      </c>
      <c r="J863" s="2">
        <v>296040.55000000005</v>
      </c>
      <c r="K863" s="2">
        <v>198337.81</v>
      </c>
    </row>
    <row r="864" spans="1:11" x14ac:dyDescent="0.3">
      <c r="A864" s="4" t="s">
        <v>843</v>
      </c>
      <c r="B864" s="4" t="s">
        <v>1174</v>
      </c>
      <c r="C864" s="4" t="s">
        <v>14</v>
      </c>
      <c r="D864" s="1">
        <v>44294</v>
      </c>
      <c r="E864" s="4">
        <v>239956271</v>
      </c>
      <c r="F864" s="1">
        <v>44316</v>
      </c>
      <c r="G864" s="3">
        <v>7248</v>
      </c>
      <c r="H864" s="2">
        <v>81.73</v>
      </c>
      <c r="I864" s="2">
        <v>56.67</v>
      </c>
      <c r="J864" s="2">
        <v>592379.04</v>
      </c>
      <c r="K864" s="2">
        <v>410744.16000000003</v>
      </c>
    </row>
    <row r="865" spans="1:11" x14ac:dyDescent="0.3">
      <c r="A865" s="4" t="s">
        <v>844</v>
      </c>
      <c r="B865" s="4" t="s">
        <v>1166</v>
      </c>
      <c r="C865" s="4" t="s">
        <v>19</v>
      </c>
      <c r="D865" s="1">
        <v>44158</v>
      </c>
      <c r="E865" s="4">
        <v>291558110</v>
      </c>
      <c r="F865" s="1">
        <v>44197</v>
      </c>
      <c r="G865" s="3">
        <v>7379</v>
      </c>
      <c r="H865" s="2">
        <v>9.33</v>
      </c>
      <c r="I865" s="2">
        <v>6.92</v>
      </c>
      <c r="J865" s="2">
        <v>68846.070000000007</v>
      </c>
      <c r="K865" s="2">
        <v>51062.68</v>
      </c>
    </row>
    <row r="866" spans="1:11" x14ac:dyDescent="0.3">
      <c r="A866" s="4" t="s">
        <v>845</v>
      </c>
      <c r="B866" s="4" t="s">
        <v>1182</v>
      </c>
      <c r="C866" s="4" t="s">
        <v>12</v>
      </c>
      <c r="D866" s="1">
        <v>44262</v>
      </c>
      <c r="E866" s="4">
        <v>862552344</v>
      </c>
      <c r="F866" s="1">
        <v>44291</v>
      </c>
      <c r="G866" s="3">
        <v>7261</v>
      </c>
      <c r="H866" s="2">
        <v>668.27</v>
      </c>
      <c r="I866" s="2">
        <v>502.54</v>
      </c>
      <c r="J866" s="2">
        <v>4852308.47</v>
      </c>
      <c r="K866" s="2">
        <v>3648942.94</v>
      </c>
    </row>
    <row r="867" spans="1:11" x14ac:dyDescent="0.3">
      <c r="A867" s="4" t="s">
        <v>846</v>
      </c>
      <c r="B867" s="4" t="s">
        <v>1166</v>
      </c>
      <c r="C867" s="4" t="s">
        <v>12</v>
      </c>
      <c r="D867" s="1">
        <v>44807</v>
      </c>
      <c r="E867" s="4">
        <v>979550302</v>
      </c>
      <c r="F867" s="1">
        <v>44837</v>
      </c>
      <c r="G867" s="3">
        <v>9557</v>
      </c>
      <c r="H867" s="2">
        <v>9.33</v>
      </c>
      <c r="I867" s="2">
        <v>6.92</v>
      </c>
      <c r="J867" s="2">
        <v>89166.81</v>
      </c>
      <c r="K867" s="2">
        <v>66134.44</v>
      </c>
    </row>
    <row r="868" spans="1:11" x14ac:dyDescent="0.3">
      <c r="A868" s="4" t="s">
        <v>847</v>
      </c>
      <c r="B868" s="4" t="s">
        <v>1182</v>
      </c>
      <c r="C868" s="4" t="s">
        <v>14</v>
      </c>
      <c r="D868" s="1">
        <v>44578</v>
      </c>
      <c r="E868" s="4">
        <v>639475810</v>
      </c>
      <c r="F868" s="1">
        <v>44595</v>
      </c>
      <c r="G868" s="3">
        <v>3958</v>
      </c>
      <c r="H868" s="2">
        <v>668.27</v>
      </c>
      <c r="I868" s="2">
        <v>502.54</v>
      </c>
      <c r="J868" s="2">
        <v>2645012.66</v>
      </c>
      <c r="K868" s="2">
        <v>1989053.32</v>
      </c>
    </row>
    <row r="869" spans="1:11" x14ac:dyDescent="0.3">
      <c r="A869" s="4" t="s">
        <v>848</v>
      </c>
      <c r="B869" s="4" t="s">
        <v>1164</v>
      </c>
      <c r="C869" s="4" t="s">
        <v>14</v>
      </c>
      <c r="D869" s="1">
        <v>44592</v>
      </c>
      <c r="E869" s="4">
        <v>359565198</v>
      </c>
      <c r="F869" s="1">
        <v>44621</v>
      </c>
      <c r="G869" s="3">
        <v>2187</v>
      </c>
      <c r="H869" s="2">
        <v>205.7</v>
      </c>
      <c r="I869" s="2">
        <v>117.11</v>
      </c>
      <c r="J869" s="2">
        <v>449865.89999999997</v>
      </c>
      <c r="K869" s="2">
        <v>256119.57</v>
      </c>
    </row>
    <row r="870" spans="1:11" x14ac:dyDescent="0.3">
      <c r="A870" s="4" t="s">
        <v>849</v>
      </c>
      <c r="B870" s="4" t="s">
        <v>1164</v>
      </c>
      <c r="C870" s="4" t="s">
        <v>17</v>
      </c>
      <c r="D870" s="1">
        <v>44448</v>
      </c>
      <c r="E870" s="4">
        <v>727367293</v>
      </c>
      <c r="F870" s="1">
        <v>44492</v>
      </c>
      <c r="G870" s="3">
        <v>3001</v>
      </c>
      <c r="H870" s="2">
        <v>205.7</v>
      </c>
      <c r="I870" s="2">
        <v>117.11</v>
      </c>
      <c r="J870" s="2">
        <v>617305.69999999995</v>
      </c>
      <c r="K870" s="2">
        <v>351447.11</v>
      </c>
    </row>
    <row r="871" spans="1:11" x14ac:dyDescent="0.3">
      <c r="A871" s="4" t="s">
        <v>850</v>
      </c>
      <c r="B871" s="4" t="s">
        <v>1180</v>
      </c>
      <c r="C871" s="4" t="s">
        <v>19</v>
      </c>
      <c r="D871" s="1">
        <v>43892</v>
      </c>
      <c r="E871" s="4">
        <v>150743424</v>
      </c>
      <c r="F871" s="1">
        <v>43892</v>
      </c>
      <c r="G871" s="3">
        <v>7184</v>
      </c>
      <c r="H871" s="2">
        <v>109.28</v>
      </c>
      <c r="I871" s="2">
        <v>35.840000000000003</v>
      </c>
      <c r="J871" s="2">
        <v>785067.52000000002</v>
      </c>
      <c r="K871" s="2">
        <v>257474.56000000003</v>
      </c>
    </row>
    <row r="872" spans="1:11" x14ac:dyDescent="0.3">
      <c r="A872" s="4" t="s">
        <v>851</v>
      </c>
      <c r="B872" s="4" t="s">
        <v>1178</v>
      </c>
      <c r="C872" s="4" t="s">
        <v>14</v>
      </c>
      <c r="D872" s="1">
        <v>44381</v>
      </c>
      <c r="E872" s="4">
        <v>707867419</v>
      </c>
      <c r="F872" s="1">
        <v>44410</v>
      </c>
      <c r="G872" s="3">
        <v>2555</v>
      </c>
      <c r="H872" s="2">
        <v>154.06</v>
      </c>
      <c r="I872" s="2">
        <v>90.93</v>
      </c>
      <c r="J872" s="2">
        <v>393623.3</v>
      </c>
      <c r="K872" s="2">
        <v>232326.15000000002</v>
      </c>
    </row>
    <row r="873" spans="1:11" x14ac:dyDescent="0.3">
      <c r="A873" s="4" t="s">
        <v>852</v>
      </c>
      <c r="B873" s="4" t="s">
        <v>1160</v>
      </c>
      <c r="C873" s="4" t="s">
        <v>14</v>
      </c>
      <c r="D873" s="1">
        <v>44390</v>
      </c>
      <c r="E873" s="4">
        <v>497225606</v>
      </c>
      <c r="F873" s="1">
        <v>44410</v>
      </c>
      <c r="G873" s="3">
        <v>8961</v>
      </c>
      <c r="H873" s="2">
        <v>152.58000000000001</v>
      </c>
      <c r="I873" s="2">
        <v>97.44</v>
      </c>
      <c r="J873" s="2">
        <v>1367269.3800000001</v>
      </c>
      <c r="K873" s="2">
        <v>873159.84</v>
      </c>
    </row>
    <row r="874" spans="1:11" x14ac:dyDescent="0.3">
      <c r="A874" s="4" t="s">
        <v>853</v>
      </c>
      <c r="B874" s="4" t="s">
        <v>1178</v>
      </c>
      <c r="C874" s="4" t="s">
        <v>14</v>
      </c>
      <c r="D874" s="1">
        <v>44104</v>
      </c>
      <c r="E874" s="4">
        <v>387616813</v>
      </c>
      <c r="F874" s="1">
        <v>44109</v>
      </c>
      <c r="G874" s="3">
        <v>3283</v>
      </c>
      <c r="H874" s="2">
        <v>154.06</v>
      </c>
      <c r="I874" s="2">
        <v>90.93</v>
      </c>
      <c r="J874" s="2">
        <v>505778.98</v>
      </c>
      <c r="K874" s="2">
        <v>298523.19</v>
      </c>
    </row>
    <row r="875" spans="1:11" x14ac:dyDescent="0.3">
      <c r="A875" s="4" t="s">
        <v>854</v>
      </c>
      <c r="B875" s="4" t="s">
        <v>1182</v>
      </c>
      <c r="C875" s="4" t="s">
        <v>17</v>
      </c>
      <c r="D875" s="1">
        <v>43857</v>
      </c>
      <c r="E875" s="4">
        <v>868152368</v>
      </c>
      <c r="F875" s="1">
        <v>43884</v>
      </c>
      <c r="G875" s="3">
        <v>4433</v>
      </c>
      <c r="H875" s="2">
        <v>668.27</v>
      </c>
      <c r="I875" s="2">
        <v>502.54</v>
      </c>
      <c r="J875" s="2">
        <v>2962440.91</v>
      </c>
      <c r="K875" s="2">
        <v>2227759.8200000003</v>
      </c>
    </row>
    <row r="876" spans="1:11" x14ac:dyDescent="0.3">
      <c r="A876" s="4" t="s">
        <v>855</v>
      </c>
      <c r="B876" s="4" t="s">
        <v>1160</v>
      </c>
      <c r="C876" s="4" t="s">
        <v>14</v>
      </c>
      <c r="D876" s="1">
        <v>44649</v>
      </c>
      <c r="E876" s="4">
        <v>698256099</v>
      </c>
      <c r="F876" s="1">
        <v>44665</v>
      </c>
      <c r="G876" s="3">
        <v>8351</v>
      </c>
      <c r="H876" s="2">
        <v>152.58000000000001</v>
      </c>
      <c r="I876" s="2">
        <v>97.44</v>
      </c>
      <c r="J876" s="2">
        <v>1274195.58</v>
      </c>
      <c r="K876" s="2">
        <v>813721.44</v>
      </c>
    </row>
    <row r="877" spans="1:11" x14ac:dyDescent="0.3">
      <c r="A877" s="4" t="s">
        <v>856</v>
      </c>
      <c r="B877" s="4" t="s">
        <v>1162</v>
      </c>
      <c r="C877" s="4" t="s">
        <v>17</v>
      </c>
      <c r="D877" s="1">
        <v>44498</v>
      </c>
      <c r="E877" s="4">
        <v>957664334</v>
      </c>
      <c r="F877" s="1">
        <v>44518</v>
      </c>
      <c r="G877" s="3">
        <v>3013</v>
      </c>
      <c r="H877" s="2">
        <v>421.89</v>
      </c>
      <c r="I877" s="2">
        <v>364.69</v>
      </c>
      <c r="J877" s="2">
        <v>1271154.57</v>
      </c>
      <c r="K877" s="2">
        <v>1098810.97</v>
      </c>
    </row>
    <row r="878" spans="1:11" x14ac:dyDescent="0.3">
      <c r="A878" s="4" t="s">
        <v>857</v>
      </c>
      <c r="B878" s="4" t="s">
        <v>1176</v>
      </c>
      <c r="C878" s="4" t="s">
        <v>17</v>
      </c>
      <c r="D878" s="1">
        <v>44177</v>
      </c>
      <c r="E878" s="4">
        <v>996425902</v>
      </c>
      <c r="F878" s="1">
        <v>44198</v>
      </c>
      <c r="G878" s="3">
        <v>3422</v>
      </c>
      <c r="H878" s="2">
        <v>651.21</v>
      </c>
      <c r="I878" s="2">
        <v>524.96</v>
      </c>
      <c r="J878" s="2">
        <v>2228440.62</v>
      </c>
      <c r="K878" s="2">
        <v>1796413.12</v>
      </c>
    </row>
    <row r="879" spans="1:11" x14ac:dyDescent="0.3">
      <c r="A879" s="4" t="s">
        <v>858</v>
      </c>
      <c r="B879" s="4" t="s">
        <v>1172</v>
      </c>
      <c r="C879" s="4" t="s">
        <v>12</v>
      </c>
      <c r="D879" s="1">
        <v>44605</v>
      </c>
      <c r="E879" s="4">
        <v>684902131</v>
      </c>
      <c r="F879" s="1">
        <v>44620</v>
      </c>
      <c r="G879" s="3">
        <v>6615</v>
      </c>
      <c r="H879" s="2">
        <v>437.2</v>
      </c>
      <c r="I879" s="2">
        <v>263.33</v>
      </c>
      <c r="J879" s="2">
        <v>2892078</v>
      </c>
      <c r="K879" s="2">
        <v>1741927.95</v>
      </c>
    </row>
    <row r="880" spans="1:11" x14ac:dyDescent="0.3">
      <c r="A880" s="4" t="s">
        <v>859</v>
      </c>
      <c r="B880" s="4" t="s">
        <v>1176</v>
      </c>
      <c r="C880" s="4" t="s">
        <v>14</v>
      </c>
      <c r="D880" s="1">
        <v>44241</v>
      </c>
      <c r="E880" s="4">
        <v>863766849</v>
      </c>
      <c r="F880" s="1">
        <v>44279</v>
      </c>
      <c r="G880" s="3">
        <v>6660</v>
      </c>
      <c r="H880" s="2">
        <v>651.21</v>
      </c>
      <c r="I880" s="2">
        <v>524.96</v>
      </c>
      <c r="J880" s="2">
        <v>4337058.6000000006</v>
      </c>
      <c r="K880" s="2">
        <v>3496233.6</v>
      </c>
    </row>
    <row r="881" spans="1:11" x14ac:dyDescent="0.3">
      <c r="A881" s="4" t="s">
        <v>860</v>
      </c>
      <c r="B881" s="4" t="s">
        <v>1176</v>
      </c>
      <c r="C881" s="4" t="s">
        <v>19</v>
      </c>
      <c r="D881" s="1">
        <v>44819</v>
      </c>
      <c r="E881" s="4">
        <v>194006383</v>
      </c>
      <c r="F881" s="1">
        <v>44856</v>
      </c>
      <c r="G881" s="3">
        <v>9655</v>
      </c>
      <c r="H881" s="2">
        <v>651.21</v>
      </c>
      <c r="I881" s="2">
        <v>524.96</v>
      </c>
      <c r="J881" s="2">
        <v>6287432.5500000007</v>
      </c>
      <c r="K881" s="2">
        <v>5068488.8000000007</v>
      </c>
    </row>
    <row r="882" spans="1:11" x14ac:dyDescent="0.3">
      <c r="A882" s="4" t="s">
        <v>678</v>
      </c>
      <c r="B882" s="4" t="s">
        <v>1180</v>
      </c>
      <c r="C882" s="4" t="s">
        <v>14</v>
      </c>
      <c r="D882" s="1">
        <v>44568</v>
      </c>
      <c r="E882" s="4">
        <v>106919562</v>
      </c>
      <c r="F882" s="1">
        <v>44617</v>
      </c>
      <c r="G882" s="3">
        <v>8729</v>
      </c>
      <c r="H882" s="2">
        <v>109.28</v>
      </c>
      <c r="I882" s="2">
        <v>35.840000000000003</v>
      </c>
      <c r="J882" s="2">
        <v>953905.12</v>
      </c>
      <c r="K882" s="2">
        <v>312847.36000000004</v>
      </c>
    </row>
    <row r="883" spans="1:11" x14ac:dyDescent="0.3">
      <c r="A883" s="4" t="s">
        <v>861</v>
      </c>
      <c r="B883" s="4" t="s">
        <v>1174</v>
      </c>
      <c r="C883" s="4" t="s">
        <v>12</v>
      </c>
      <c r="D883" s="1">
        <v>43951</v>
      </c>
      <c r="E883" s="4">
        <v>754117715</v>
      </c>
      <c r="F883" s="1">
        <v>43975</v>
      </c>
      <c r="G883" s="3">
        <v>9045</v>
      </c>
      <c r="H883" s="2">
        <v>81.73</v>
      </c>
      <c r="I883" s="2">
        <v>56.67</v>
      </c>
      <c r="J883" s="2">
        <v>739247.85000000009</v>
      </c>
      <c r="K883" s="2">
        <v>512580.15</v>
      </c>
    </row>
    <row r="884" spans="1:11" x14ac:dyDescent="0.3">
      <c r="A884" s="4" t="s">
        <v>862</v>
      </c>
      <c r="B884" s="4" t="s">
        <v>1166</v>
      </c>
      <c r="C884" s="4" t="s">
        <v>12</v>
      </c>
      <c r="D884" s="1">
        <v>44101</v>
      </c>
      <c r="E884" s="4">
        <v>557524669</v>
      </c>
      <c r="F884" s="1">
        <v>44151</v>
      </c>
      <c r="G884" s="3">
        <v>2794</v>
      </c>
      <c r="H884" s="2">
        <v>9.33</v>
      </c>
      <c r="I884" s="2">
        <v>6.92</v>
      </c>
      <c r="J884" s="2">
        <v>26068.02</v>
      </c>
      <c r="K884" s="2">
        <v>19334.48</v>
      </c>
    </row>
    <row r="885" spans="1:11" x14ac:dyDescent="0.3">
      <c r="A885" s="4" t="s">
        <v>863</v>
      </c>
      <c r="B885" s="4" t="s">
        <v>1160</v>
      </c>
      <c r="C885" s="4" t="s">
        <v>17</v>
      </c>
      <c r="D885" s="1">
        <v>44209</v>
      </c>
      <c r="E885" s="4">
        <v>259376752</v>
      </c>
      <c r="F885" s="1">
        <v>44237</v>
      </c>
      <c r="G885" s="3">
        <v>4200</v>
      </c>
      <c r="H885" s="2">
        <v>152.58000000000001</v>
      </c>
      <c r="I885" s="2">
        <v>97.44</v>
      </c>
      <c r="J885" s="2">
        <v>640836</v>
      </c>
      <c r="K885" s="2">
        <v>409248</v>
      </c>
    </row>
    <row r="886" spans="1:11" x14ac:dyDescent="0.3">
      <c r="A886" s="4" t="s">
        <v>864</v>
      </c>
      <c r="B886" s="4" t="s">
        <v>1162</v>
      </c>
      <c r="C886" s="4" t="s">
        <v>17</v>
      </c>
      <c r="D886" s="1">
        <v>44135</v>
      </c>
      <c r="E886" s="4">
        <v>672222793</v>
      </c>
      <c r="F886" s="1">
        <v>44182</v>
      </c>
      <c r="G886" s="3">
        <v>4517</v>
      </c>
      <c r="H886" s="2">
        <v>421.89</v>
      </c>
      <c r="I886" s="2">
        <v>364.69</v>
      </c>
      <c r="J886" s="2">
        <v>1905677.13</v>
      </c>
      <c r="K886" s="2">
        <v>1647304.73</v>
      </c>
    </row>
    <row r="887" spans="1:11" x14ac:dyDescent="0.3">
      <c r="A887" s="4" t="s">
        <v>865</v>
      </c>
      <c r="B887" s="4" t="s">
        <v>1164</v>
      </c>
      <c r="C887" s="4" t="s">
        <v>17</v>
      </c>
      <c r="D887" s="1">
        <v>43885</v>
      </c>
      <c r="E887" s="4">
        <v>428924119</v>
      </c>
      <c r="F887" s="1">
        <v>43896</v>
      </c>
      <c r="G887" s="3">
        <v>7033</v>
      </c>
      <c r="H887" s="2">
        <v>205.7</v>
      </c>
      <c r="I887" s="2">
        <v>117.11</v>
      </c>
      <c r="J887" s="2">
        <v>1446688.0999999999</v>
      </c>
      <c r="K887" s="2">
        <v>823634.63</v>
      </c>
    </row>
    <row r="888" spans="1:11" x14ac:dyDescent="0.3">
      <c r="A888" s="4" t="s">
        <v>866</v>
      </c>
      <c r="B888" s="4" t="s">
        <v>1182</v>
      </c>
      <c r="C888" s="4" t="s">
        <v>12</v>
      </c>
      <c r="D888" s="1">
        <v>44134</v>
      </c>
      <c r="E888" s="4">
        <v>932654559</v>
      </c>
      <c r="F888" s="1">
        <v>44144</v>
      </c>
      <c r="G888" s="3">
        <v>2065</v>
      </c>
      <c r="H888" s="2">
        <v>668.27</v>
      </c>
      <c r="I888" s="2">
        <v>502.54</v>
      </c>
      <c r="J888" s="2">
        <v>1379977.55</v>
      </c>
      <c r="K888" s="2">
        <v>1037745.1000000001</v>
      </c>
    </row>
    <row r="889" spans="1:11" x14ac:dyDescent="0.3">
      <c r="A889" s="4" t="s">
        <v>867</v>
      </c>
      <c r="B889" s="4" t="s">
        <v>1170</v>
      </c>
      <c r="C889" s="4" t="s">
        <v>14</v>
      </c>
      <c r="D889" s="1">
        <v>44661</v>
      </c>
      <c r="E889" s="4">
        <v>506900441</v>
      </c>
      <c r="F889" s="1">
        <v>44661</v>
      </c>
      <c r="G889" s="3">
        <v>1960</v>
      </c>
      <c r="H889" s="2">
        <v>47.45</v>
      </c>
      <c r="I889" s="2">
        <v>31.79</v>
      </c>
      <c r="J889" s="2">
        <v>93002</v>
      </c>
      <c r="K889" s="2">
        <v>62308.4</v>
      </c>
    </row>
    <row r="890" spans="1:11" x14ac:dyDescent="0.3">
      <c r="A890" s="4" t="s">
        <v>868</v>
      </c>
      <c r="B890" s="4" t="s">
        <v>1180</v>
      </c>
      <c r="C890" s="4" t="s">
        <v>19</v>
      </c>
      <c r="D890" s="1">
        <v>44869</v>
      </c>
      <c r="E890" s="4">
        <v>245460593</v>
      </c>
      <c r="F890" s="1">
        <v>44892</v>
      </c>
      <c r="G890" s="3">
        <v>6099</v>
      </c>
      <c r="H890" s="2">
        <v>109.28</v>
      </c>
      <c r="I890" s="2">
        <v>35.840000000000003</v>
      </c>
      <c r="J890" s="2">
        <v>666498.72</v>
      </c>
      <c r="K890" s="2">
        <v>218588.16000000003</v>
      </c>
    </row>
    <row r="891" spans="1:11" x14ac:dyDescent="0.3">
      <c r="A891" s="4" t="s">
        <v>869</v>
      </c>
      <c r="B891" s="4" t="s">
        <v>1160</v>
      </c>
      <c r="C891" s="4" t="s">
        <v>19</v>
      </c>
      <c r="D891" s="1">
        <v>44308</v>
      </c>
      <c r="E891" s="4">
        <v>862446343</v>
      </c>
      <c r="F891" s="1">
        <v>44342</v>
      </c>
      <c r="G891" s="3">
        <v>5893</v>
      </c>
      <c r="H891" s="2">
        <v>152.58000000000001</v>
      </c>
      <c r="I891" s="2">
        <v>97.44</v>
      </c>
      <c r="J891" s="2">
        <v>899153.94000000006</v>
      </c>
      <c r="K891" s="2">
        <v>574213.92000000004</v>
      </c>
    </row>
    <row r="892" spans="1:11" x14ac:dyDescent="0.3">
      <c r="A892" s="4" t="s">
        <v>870</v>
      </c>
      <c r="B892" s="4" t="s">
        <v>1182</v>
      </c>
      <c r="C892" s="4" t="s">
        <v>12</v>
      </c>
      <c r="D892" s="1">
        <v>44240</v>
      </c>
      <c r="E892" s="4">
        <v>442281520</v>
      </c>
      <c r="F892" s="1">
        <v>44269</v>
      </c>
      <c r="G892" s="3">
        <v>9785</v>
      </c>
      <c r="H892" s="2">
        <v>668.27</v>
      </c>
      <c r="I892" s="2">
        <v>502.54</v>
      </c>
      <c r="J892" s="2">
        <v>6539021.9500000002</v>
      </c>
      <c r="K892" s="2">
        <v>4917353.9000000004</v>
      </c>
    </row>
    <row r="893" spans="1:11" x14ac:dyDescent="0.3">
      <c r="A893" s="4" t="s">
        <v>871</v>
      </c>
      <c r="B893" s="4" t="s">
        <v>1170</v>
      </c>
      <c r="C893" s="4" t="s">
        <v>14</v>
      </c>
      <c r="D893" s="1">
        <v>43987</v>
      </c>
      <c r="E893" s="4">
        <v>289702451</v>
      </c>
      <c r="F893" s="1">
        <v>44000</v>
      </c>
      <c r="G893" s="3">
        <v>8248</v>
      </c>
      <c r="H893" s="2">
        <v>47.45</v>
      </c>
      <c r="I893" s="2">
        <v>31.79</v>
      </c>
      <c r="J893" s="2">
        <v>391367.60000000003</v>
      </c>
      <c r="K893" s="2">
        <v>262203.92</v>
      </c>
    </row>
    <row r="894" spans="1:11" x14ac:dyDescent="0.3">
      <c r="A894" s="4" t="s">
        <v>639</v>
      </c>
      <c r="B894" s="4" t="s">
        <v>1170</v>
      </c>
      <c r="C894" s="4" t="s">
        <v>12</v>
      </c>
      <c r="D894" s="1">
        <v>44584</v>
      </c>
      <c r="E894" s="4">
        <v>879757964</v>
      </c>
      <c r="F894" s="1">
        <v>44619</v>
      </c>
      <c r="G894" s="3">
        <v>8787</v>
      </c>
      <c r="H894" s="2">
        <v>47.45</v>
      </c>
      <c r="I894" s="2">
        <v>31.79</v>
      </c>
      <c r="J894" s="2">
        <v>416943.15</v>
      </c>
      <c r="K894" s="2">
        <v>279338.73</v>
      </c>
    </row>
    <row r="895" spans="1:11" x14ac:dyDescent="0.3">
      <c r="A895" s="4" t="s">
        <v>872</v>
      </c>
      <c r="B895" s="4" t="s">
        <v>1164</v>
      </c>
      <c r="C895" s="4" t="s">
        <v>14</v>
      </c>
      <c r="D895" s="1">
        <v>44078</v>
      </c>
      <c r="E895" s="4">
        <v>507809388</v>
      </c>
      <c r="F895" s="1">
        <v>44079</v>
      </c>
      <c r="G895" s="3">
        <v>937</v>
      </c>
      <c r="H895" s="2">
        <v>205.7</v>
      </c>
      <c r="I895" s="2">
        <v>117.11</v>
      </c>
      <c r="J895" s="2">
        <v>192740.9</v>
      </c>
      <c r="K895" s="2">
        <v>109732.06999999999</v>
      </c>
    </row>
    <row r="896" spans="1:11" x14ac:dyDescent="0.3">
      <c r="A896" s="4" t="s">
        <v>348</v>
      </c>
      <c r="B896" s="4" t="s">
        <v>1182</v>
      </c>
      <c r="C896" s="4" t="s">
        <v>12</v>
      </c>
      <c r="D896" s="1">
        <v>44322</v>
      </c>
      <c r="E896" s="4">
        <v>239530551</v>
      </c>
      <c r="F896" s="1">
        <v>44333</v>
      </c>
      <c r="G896" s="3">
        <v>1268</v>
      </c>
      <c r="H896" s="2">
        <v>668.27</v>
      </c>
      <c r="I896" s="2">
        <v>502.54</v>
      </c>
      <c r="J896" s="2">
        <v>847366.36</v>
      </c>
      <c r="K896" s="2">
        <v>637220.72</v>
      </c>
    </row>
    <row r="897" spans="1:11" x14ac:dyDescent="0.3">
      <c r="A897" s="4" t="s">
        <v>873</v>
      </c>
      <c r="B897" s="4" t="s">
        <v>1168</v>
      </c>
      <c r="C897" s="4" t="s">
        <v>17</v>
      </c>
      <c r="D897" s="1">
        <v>44178</v>
      </c>
      <c r="E897" s="4">
        <v>760907781</v>
      </c>
      <c r="F897" s="1">
        <v>44202</v>
      </c>
      <c r="G897" s="3">
        <v>8376</v>
      </c>
      <c r="H897" s="2">
        <v>255.28</v>
      </c>
      <c r="I897" s="2">
        <v>159.41999999999999</v>
      </c>
      <c r="J897" s="2">
        <v>2138225.2799999998</v>
      </c>
      <c r="K897" s="2">
        <v>1335301.92</v>
      </c>
    </row>
    <row r="898" spans="1:11" x14ac:dyDescent="0.3">
      <c r="A898" s="4" t="s">
        <v>874</v>
      </c>
      <c r="B898" s="4" t="s">
        <v>1164</v>
      </c>
      <c r="C898" s="4" t="s">
        <v>17</v>
      </c>
      <c r="D898" s="1">
        <v>44225</v>
      </c>
      <c r="E898" s="4">
        <v>128239905</v>
      </c>
      <c r="F898" s="1">
        <v>44265</v>
      </c>
      <c r="G898" s="3">
        <v>7893</v>
      </c>
      <c r="H898" s="2">
        <v>205.7</v>
      </c>
      <c r="I898" s="2">
        <v>117.11</v>
      </c>
      <c r="J898" s="2">
        <v>1623590.0999999999</v>
      </c>
      <c r="K898" s="2">
        <v>924349.23</v>
      </c>
    </row>
    <row r="899" spans="1:11" x14ac:dyDescent="0.3">
      <c r="A899" s="4" t="s">
        <v>875</v>
      </c>
      <c r="B899" s="4" t="s">
        <v>1168</v>
      </c>
      <c r="C899" s="4" t="s">
        <v>12</v>
      </c>
      <c r="D899" s="1">
        <v>44143</v>
      </c>
      <c r="E899" s="4">
        <v>518138253</v>
      </c>
      <c r="F899" s="1">
        <v>44163</v>
      </c>
      <c r="G899" s="3">
        <v>7478</v>
      </c>
      <c r="H899" s="2">
        <v>255.28</v>
      </c>
      <c r="I899" s="2">
        <v>159.41999999999999</v>
      </c>
      <c r="J899" s="2">
        <v>1908983.84</v>
      </c>
      <c r="K899" s="2">
        <v>1192142.76</v>
      </c>
    </row>
    <row r="900" spans="1:11" x14ac:dyDescent="0.3">
      <c r="A900" s="4" t="s">
        <v>876</v>
      </c>
      <c r="B900" s="4" t="s">
        <v>1160</v>
      </c>
      <c r="C900" s="4" t="s">
        <v>14</v>
      </c>
      <c r="D900" s="1">
        <v>44281</v>
      </c>
      <c r="E900" s="4">
        <v>577526652</v>
      </c>
      <c r="F900" s="1">
        <v>44296</v>
      </c>
      <c r="G900" s="3">
        <v>1825</v>
      </c>
      <c r="H900" s="2">
        <v>152.58000000000001</v>
      </c>
      <c r="I900" s="2">
        <v>97.44</v>
      </c>
      <c r="J900" s="2">
        <v>278458.5</v>
      </c>
      <c r="K900" s="2">
        <v>177828</v>
      </c>
    </row>
    <row r="901" spans="1:11" x14ac:dyDescent="0.3">
      <c r="A901" s="4" t="s">
        <v>877</v>
      </c>
      <c r="B901" s="4" t="s">
        <v>1176</v>
      </c>
      <c r="C901" s="4" t="s">
        <v>17</v>
      </c>
      <c r="D901" s="1">
        <v>44092</v>
      </c>
      <c r="E901" s="4">
        <v>373641431</v>
      </c>
      <c r="F901" s="1">
        <v>44132</v>
      </c>
      <c r="G901" s="3">
        <v>7657</v>
      </c>
      <c r="H901" s="2">
        <v>651.21</v>
      </c>
      <c r="I901" s="2">
        <v>524.96</v>
      </c>
      <c r="J901" s="2">
        <v>4986314.9700000007</v>
      </c>
      <c r="K901" s="2">
        <v>4019618.72</v>
      </c>
    </row>
    <row r="902" spans="1:11" x14ac:dyDescent="0.3">
      <c r="A902" s="4" t="s">
        <v>878</v>
      </c>
      <c r="B902" s="4" t="s">
        <v>1162</v>
      </c>
      <c r="C902" s="4" t="s">
        <v>17</v>
      </c>
      <c r="D902" s="1">
        <v>44739</v>
      </c>
      <c r="E902" s="4">
        <v>944031417</v>
      </c>
      <c r="F902" s="1">
        <v>44785</v>
      </c>
      <c r="G902" s="3">
        <v>8730</v>
      </c>
      <c r="H902" s="2">
        <v>421.89</v>
      </c>
      <c r="I902" s="2">
        <v>364.69</v>
      </c>
      <c r="J902" s="2">
        <v>3683099.6999999997</v>
      </c>
      <c r="K902" s="2">
        <v>3183743.7</v>
      </c>
    </row>
    <row r="903" spans="1:11" x14ac:dyDescent="0.3">
      <c r="A903" s="4" t="s">
        <v>879</v>
      </c>
      <c r="B903" s="4" t="s">
        <v>1170</v>
      </c>
      <c r="C903" s="4" t="s">
        <v>17</v>
      </c>
      <c r="D903" s="1">
        <v>44404</v>
      </c>
      <c r="E903" s="4">
        <v>246557939</v>
      </c>
      <c r="F903" s="1">
        <v>44453</v>
      </c>
      <c r="G903" s="3">
        <v>828</v>
      </c>
      <c r="H903" s="2">
        <v>47.45</v>
      </c>
      <c r="I903" s="2">
        <v>31.79</v>
      </c>
      <c r="J903" s="2">
        <v>39288.600000000006</v>
      </c>
      <c r="K903" s="2">
        <v>26322.12</v>
      </c>
    </row>
    <row r="904" spans="1:11" x14ac:dyDescent="0.3">
      <c r="A904" s="4" t="s">
        <v>880</v>
      </c>
      <c r="B904" s="4" t="s">
        <v>1176</v>
      </c>
      <c r="C904" s="4" t="s">
        <v>17</v>
      </c>
      <c r="D904" s="1">
        <v>44021</v>
      </c>
      <c r="E904" s="4">
        <v>809394824</v>
      </c>
      <c r="F904" s="1">
        <v>44021</v>
      </c>
      <c r="G904" s="3">
        <v>6770</v>
      </c>
      <c r="H904" s="2">
        <v>651.21</v>
      </c>
      <c r="I904" s="2">
        <v>524.96</v>
      </c>
      <c r="J904" s="2">
        <v>4408691.7</v>
      </c>
      <c r="K904" s="2">
        <v>3553979.2</v>
      </c>
    </row>
    <row r="905" spans="1:11" x14ac:dyDescent="0.3">
      <c r="A905" s="4" t="s">
        <v>881</v>
      </c>
      <c r="B905" s="4" t="s">
        <v>1178</v>
      </c>
      <c r="C905" s="4" t="s">
        <v>14</v>
      </c>
      <c r="D905" s="1">
        <v>44675</v>
      </c>
      <c r="E905" s="4">
        <v>281028401</v>
      </c>
      <c r="F905" s="1">
        <v>44695</v>
      </c>
      <c r="G905" s="3">
        <v>1404</v>
      </c>
      <c r="H905" s="2">
        <v>154.06</v>
      </c>
      <c r="I905" s="2">
        <v>90.93</v>
      </c>
      <c r="J905" s="2">
        <v>216300.24</v>
      </c>
      <c r="K905" s="2">
        <v>127665.72000000002</v>
      </c>
    </row>
    <row r="906" spans="1:11" x14ac:dyDescent="0.3">
      <c r="A906" s="4" t="s">
        <v>882</v>
      </c>
      <c r="B906" s="4" t="s">
        <v>1176</v>
      </c>
      <c r="C906" s="4" t="s">
        <v>17</v>
      </c>
      <c r="D906" s="1">
        <v>43941</v>
      </c>
      <c r="E906" s="4">
        <v>880257499</v>
      </c>
      <c r="F906" s="1">
        <v>43952</v>
      </c>
      <c r="G906" s="3">
        <v>6610</v>
      </c>
      <c r="H906" s="2">
        <v>651.21</v>
      </c>
      <c r="I906" s="2">
        <v>524.96</v>
      </c>
      <c r="J906" s="2">
        <v>4304498.1000000006</v>
      </c>
      <c r="K906" s="2">
        <v>3469985.6</v>
      </c>
    </row>
    <row r="907" spans="1:11" x14ac:dyDescent="0.3">
      <c r="A907" s="4" t="s">
        <v>771</v>
      </c>
      <c r="B907" s="4" t="s">
        <v>1168</v>
      </c>
      <c r="C907" s="4" t="s">
        <v>19</v>
      </c>
      <c r="D907" s="1">
        <v>44762</v>
      </c>
      <c r="E907" s="4">
        <v>846193444</v>
      </c>
      <c r="F907" s="1">
        <v>44806</v>
      </c>
      <c r="G907" s="3">
        <v>6299</v>
      </c>
      <c r="H907" s="2">
        <v>255.28</v>
      </c>
      <c r="I907" s="2">
        <v>159.41999999999999</v>
      </c>
      <c r="J907" s="2">
        <v>1608008.72</v>
      </c>
      <c r="K907" s="2">
        <v>1004186.58</v>
      </c>
    </row>
    <row r="908" spans="1:11" x14ac:dyDescent="0.3">
      <c r="A908" s="4" t="s">
        <v>883</v>
      </c>
      <c r="B908" s="4" t="s">
        <v>1162</v>
      </c>
      <c r="C908" s="4" t="s">
        <v>14</v>
      </c>
      <c r="D908" s="1">
        <v>44487</v>
      </c>
      <c r="E908" s="4">
        <v>288260066</v>
      </c>
      <c r="F908" s="1">
        <v>44510</v>
      </c>
      <c r="G908" s="3">
        <v>1414</v>
      </c>
      <c r="H908" s="2">
        <v>421.89</v>
      </c>
      <c r="I908" s="2">
        <v>364.69</v>
      </c>
      <c r="J908" s="2">
        <v>596552.46</v>
      </c>
      <c r="K908" s="2">
        <v>515671.66</v>
      </c>
    </row>
    <row r="909" spans="1:11" x14ac:dyDescent="0.3">
      <c r="A909" s="4" t="s">
        <v>884</v>
      </c>
      <c r="B909" s="4" t="s">
        <v>1164</v>
      </c>
      <c r="C909" s="4" t="s">
        <v>19</v>
      </c>
      <c r="D909" s="1">
        <v>44785</v>
      </c>
      <c r="E909" s="4">
        <v>736193692</v>
      </c>
      <c r="F909" s="1">
        <v>44805</v>
      </c>
      <c r="G909" s="3">
        <v>4928</v>
      </c>
      <c r="H909" s="2">
        <v>205.7</v>
      </c>
      <c r="I909" s="2">
        <v>117.11</v>
      </c>
      <c r="J909" s="2">
        <v>1013689.6</v>
      </c>
      <c r="K909" s="2">
        <v>577118.07999999996</v>
      </c>
    </row>
    <row r="910" spans="1:11" x14ac:dyDescent="0.3">
      <c r="A910" s="4" t="s">
        <v>885</v>
      </c>
      <c r="B910" s="4" t="s">
        <v>1164</v>
      </c>
      <c r="C910" s="4" t="s">
        <v>12</v>
      </c>
      <c r="D910" s="1">
        <v>44864</v>
      </c>
      <c r="E910" s="4">
        <v>190043151</v>
      </c>
      <c r="F910" s="1">
        <v>44908</v>
      </c>
      <c r="G910" s="3">
        <v>6846</v>
      </c>
      <c r="H910" s="2">
        <v>205.7</v>
      </c>
      <c r="I910" s="2">
        <v>117.11</v>
      </c>
      <c r="J910" s="2">
        <v>1408222.2</v>
      </c>
      <c r="K910" s="2">
        <v>801735.05999999994</v>
      </c>
    </row>
    <row r="911" spans="1:11" x14ac:dyDescent="0.3">
      <c r="A911" s="4" t="s">
        <v>886</v>
      </c>
      <c r="B911" s="4" t="s">
        <v>1162</v>
      </c>
      <c r="C911" s="4" t="s">
        <v>19</v>
      </c>
      <c r="D911" s="1">
        <v>44078</v>
      </c>
      <c r="E911" s="4">
        <v>770169770</v>
      </c>
      <c r="F911" s="1">
        <v>44092</v>
      </c>
      <c r="G911" s="3">
        <v>9205</v>
      </c>
      <c r="H911" s="2">
        <v>421.89</v>
      </c>
      <c r="I911" s="2">
        <v>364.69</v>
      </c>
      <c r="J911" s="2">
        <v>3883497.4499999997</v>
      </c>
      <c r="K911" s="2">
        <v>3356971.45</v>
      </c>
    </row>
    <row r="912" spans="1:11" x14ac:dyDescent="0.3">
      <c r="A912" s="4" t="s">
        <v>335</v>
      </c>
      <c r="B912" s="4" t="s">
        <v>1176</v>
      </c>
      <c r="C912" s="4" t="s">
        <v>12</v>
      </c>
      <c r="D912" s="1">
        <v>44537</v>
      </c>
      <c r="E912" s="4">
        <v>167247378</v>
      </c>
      <c r="F912" s="1">
        <v>44579</v>
      </c>
      <c r="G912" s="3">
        <v>1071</v>
      </c>
      <c r="H912" s="2">
        <v>651.21</v>
      </c>
      <c r="I912" s="2">
        <v>524.96</v>
      </c>
      <c r="J912" s="2">
        <v>697445.91</v>
      </c>
      <c r="K912" s="2">
        <v>562232.16</v>
      </c>
    </row>
    <row r="913" spans="1:11" x14ac:dyDescent="0.3">
      <c r="A913" s="4" t="s">
        <v>887</v>
      </c>
      <c r="B913" s="4" t="s">
        <v>1160</v>
      </c>
      <c r="C913" s="4" t="s">
        <v>12</v>
      </c>
      <c r="D913" s="1">
        <v>44324</v>
      </c>
      <c r="E913" s="4">
        <v>192262303</v>
      </c>
      <c r="F913" s="1">
        <v>44324</v>
      </c>
      <c r="G913" s="3">
        <v>3543</v>
      </c>
      <c r="H913" s="2">
        <v>152.58000000000001</v>
      </c>
      <c r="I913" s="2">
        <v>97.44</v>
      </c>
      <c r="J913" s="2">
        <v>540590.94000000006</v>
      </c>
      <c r="K913" s="2">
        <v>345229.92</v>
      </c>
    </row>
    <row r="914" spans="1:11" x14ac:dyDescent="0.3">
      <c r="A914" s="4" t="s">
        <v>888</v>
      </c>
      <c r="B914" s="4" t="s">
        <v>1174</v>
      </c>
      <c r="C914" s="4" t="s">
        <v>19</v>
      </c>
      <c r="D914" s="1">
        <v>44278</v>
      </c>
      <c r="E914" s="4">
        <v>926513373</v>
      </c>
      <c r="F914" s="1">
        <v>44278</v>
      </c>
      <c r="G914" s="3">
        <v>4751</v>
      </c>
      <c r="H914" s="2">
        <v>81.73</v>
      </c>
      <c r="I914" s="2">
        <v>56.67</v>
      </c>
      <c r="J914" s="2">
        <v>388299.23000000004</v>
      </c>
      <c r="K914" s="2">
        <v>269239.17</v>
      </c>
    </row>
    <row r="915" spans="1:11" x14ac:dyDescent="0.3">
      <c r="A915" s="4" t="s">
        <v>889</v>
      </c>
      <c r="B915" s="4" t="s">
        <v>1162</v>
      </c>
      <c r="C915" s="4" t="s">
        <v>19</v>
      </c>
      <c r="D915" s="1">
        <v>44339</v>
      </c>
      <c r="E915" s="4">
        <v>271611917</v>
      </c>
      <c r="F915" s="1">
        <v>44356</v>
      </c>
      <c r="G915" s="3">
        <v>4857</v>
      </c>
      <c r="H915" s="2">
        <v>421.89</v>
      </c>
      <c r="I915" s="2">
        <v>364.69</v>
      </c>
      <c r="J915" s="2">
        <v>2049119.73</v>
      </c>
      <c r="K915" s="2">
        <v>1771299.33</v>
      </c>
    </row>
    <row r="916" spans="1:11" x14ac:dyDescent="0.3">
      <c r="A916" s="4" t="s">
        <v>155</v>
      </c>
      <c r="B916" s="4" t="s">
        <v>1176</v>
      </c>
      <c r="C916" s="4" t="s">
        <v>12</v>
      </c>
      <c r="D916" s="1">
        <v>44074</v>
      </c>
      <c r="E916" s="4">
        <v>699481761</v>
      </c>
      <c r="F916" s="1">
        <v>44088</v>
      </c>
      <c r="G916" s="3">
        <v>1052</v>
      </c>
      <c r="H916" s="2">
        <v>651.21</v>
      </c>
      <c r="I916" s="2">
        <v>524.96</v>
      </c>
      <c r="J916" s="2">
        <v>685072.92</v>
      </c>
      <c r="K916" s="2">
        <v>552257.92000000004</v>
      </c>
    </row>
    <row r="917" spans="1:11" x14ac:dyDescent="0.3">
      <c r="A917" s="4" t="s">
        <v>890</v>
      </c>
      <c r="B917" s="4" t="s">
        <v>1180</v>
      </c>
      <c r="C917" s="4" t="s">
        <v>19</v>
      </c>
      <c r="D917" s="1">
        <v>44239</v>
      </c>
      <c r="E917" s="4">
        <v>702359235</v>
      </c>
      <c r="F917" s="1">
        <v>44256</v>
      </c>
      <c r="G917" s="3">
        <v>2560</v>
      </c>
      <c r="H917" s="2">
        <v>109.28</v>
      </c>
      <c r="I917" s="2">
        <v>35.840000000000003</v>
      </c>
      <c r="J917" s="2">
        <v>279756.79999999999</v>
      </c>
      <c r="K917" s="2">
        <v>91750.400000000009</v>
      </c>
    </row>
    <row r="918" spans="1:11" x14ac:dyDescent="0.3">
      <c r="A918" s="4" t="s">
        <v>891</v>
      </c>
      <c r="B918" s="4" t="s">
        <v>1178</v>
      </c>
      <c r="C918" s="4" t="s">
        <v>19</v>
      </c>
      <c r="D918" s="1">
        <v>44174</v>
      </c>
      <c r="E918" s="4">
        <v>642793166</v>
      </c>
      <c r="F918" s="1">
        <v>44215</v>
      </c>
      <c r="G918" s="3">
        <v>5637</v>
      </c>
      <c r="H918" s="2">
        <v>154.06</v>
      </c>
      <c r="I918" s="2">
        <v>90.93</v>
      </c>
      <c r="J918" s="2">
        <v>868436.22</v>
      </c>
      <c r="K918" s="2">
        <v>512572.41000000003</v>
      </c>
    </row>
    <row r="919" spans="1:11" x14ac:dyDescent="0.3">
      <c r="A919" s="4" t="s">
        <v>892</v>
      </c>
      <c r="B919" s="4" t="s">
        <v>1176</v>
      </c>
      <c r="C919" s="4" t="s">
        <v>17</v>
      </c>
      <c r="D919" s="1">
        <v>44405</v>
      </c>
      <c r="E919" s="4">
        <v>503644883</v>
      </c>
      <c r="F919" s="1">
        <v>44417</v>
      </c>
      <c r="G919" s="3">
        <v>8568</v>
      </c>
      <c r="H919" s="2">
        <v>651.21</v>
      </c>
      <c r="I919" s="2">
        <v>524.96</v>
      </c>
      <c r="J919" s="2">
        <v>5579567.2800000003</v>
      </c>
      <c r="K919" s="2">
        <v>4497857.28</v>
      </c>
    </row>
    <row r="920" spans="1:11" x14ac:dyDescent="0.3">
      <c r="A920" s="4" t="s">
        <v>893</v>
      </c>
      <c r="B920" s="4" t="s">
        <v>1174</v>
      </c>
      <c r="C920" s="4" t="s">
        <v>14</v>
      </c>
      <c r="D920" s="1">
        <v>44043</v>
      </c>
      <c r="E920" s="4">
        <v>338088214</v>
      </c>
      <c r="F920" s="1">
        <v>44092</v>
      </c>
      <c r="G920" s="3">
        <v>6670</v>
      </c>
      <c r="H920" s="2">
        <v>81.73</v>
      </c>
      <c r="I920" s="2">
        <v>56.67</v>
      </c>
      <c r="J920" s="2">
        <v>545139.1</v>
      </c>
      <c r="K920" s="2">
        <v>377988.9</v>
      </c>
    </row>
    <row r="921" spans="1:11" x14ac:dyDescent="0.3">
      <c r="A921" s="4" t="s">
        <v>894</v>
      </c>
      <c r="B921" s="4" t="s">
        <v>1164</v>
      </c>
      <c r="C921" s="4" t="s">
        <v>19</v>
      </c>
      <c r="D921" s="1">
        <v>44432</v>
      </c>
      <c r="E921" s="4">
        <v>719609487</v>
      </c>
      <c r="F921" s="1">
        <v>44460</v>
      </c>
      <c r="G921" s="3">
        <v>7293</v>
      </c>
      <c r="H921" s="2">
        <v>205.7</v>
      </c>
      <c r="I921" s="2">
        <v>117.11</v>
      </c>
      <c r="J921" s="2">
        <v>1500170.0999999999</v>
      </c>
      <c r="K921" s="2">
        <v>854083.23</v>
      </c>
    </row>
    <row r="922" spans="1:11" x14ac:dyDescent="0.3">
      <c r="A922" s="4" t="s">
        <v>895</v>
      </c>
      <c r="B922" s="4" t="s">
        <v>1178</v>
      </c>
      <c r="C922" s="4" t="s">
        <v>19</v>
      </c>
      <c r="D922" s="1">
        <v>44453</v>
      </c>
      <c r="E922" s="4">
        <v>492007529</v>
      </c>
      <c r="F922" s="1">
        <v>44473</v>
      </c>
      <c r="G922" s="3">
        <v>4816</v>
      </c>
      <c r="H922" s="2">
        <v>154.06</v>
      </c>
      <c r="I922" s="2">
        <v>90.93</v>
      </c>
      <c r="J922" s="2">
        <v>741952.96</v>
      </c>
      <c r="K922" s="2">
        <v>437918.88</v>
      </c>
    </row>
    <row r="923" spans="1:11" x14ac:dyDescent="0.3">
      <c r="A923" s="4" t="s">
        <v>896</v>
      </c>
      <c r="B923" s="4" t="s">
        <v>1178</v>
      </c>
      <c r="C923" s="4" t="s">
        <v>12</v>
      </c>
      <c r="D923" s="1">
        <v>44177</v>
      </c>
      <c r="E923" s="4">
        <v>819393670</v>
      </c>
      <c r="F923" s="1">
        <v>44181</v>
      </c>
      <c r="G923" s="3">
        <v>5651</v>
      </c>
      <c r="H923" s="2">
        <v>154.06</v>
      </c>
      <c r="I923" s="2">
        <v>90.93</v>
      </c>
      <c r="J923" s="2">
        <v>870593.06</v>
      </c>
      <c r="K923" s="2">
        <v>513845.43000000005</v>
      </c>
    </row>
    <row r="924" spans="1:11" x14ac:dyDescent="0.3">
      <c r="A924" s="4" t="s">
        <v>897</v>
      </c>
      <c r="B924" s="4" t="s">
        <v>1166</v>
      </c>
      <c r="C924" s="4" t="s">
        <v>12</v>
      </c>
      <c r="D924" s="1">
        <v>44347</v>
      </c>
      <c r="E924" s="4">
        <v>236191737</v>
      </c>
      <c r="F924" s="1">
        <v>44348</v>
      </c>
      <c r="G924" s="3">
        <v>3239</v>
      </c>
      <c r="H924" s="2">
        <v>9.33</v>
      </c>
      <c r="I924" s="2">
        <v>6.92</v>
      </c>
      <c r="J924" s="2">
        <v>30219.87</v>
      </c>
      <c r="K924" s="2">
        <v>22413.88</v>
      </c>
    </row>
    <row r="925" spans="1:11" x14ac:dyDescent="0.3">
      <c r="A925" s="4" t="s">
        <v>898</v>
      </c>
      <c r="B925" s="4" t="s">
        <v>1164</v>
      </c>
      <c r="C925" s="4" t="s">
        <v>12</v>
      </c>
      <c r="D925" s="1">
        <v>44804</v>
      </c>
      <c r="E925" s="4">
        <v>497138059</v>
      </c>
      <c r="F925" s="1">
        <v>44846</v>
      </c>
      <c r="G925" s="3">
        <v>3054</v>
      </c>
      <c r="H925" s="2">
        <v>205.7</v>
      </c>
      <c r="I925" s="2">
        <v>117.11</v>
      </c>
      <c r="J925" s="2">
        <v>628207.79999999993</v>
      </c>
      <c r="K925" s="2">
        <v>357653.94</v>
      </c>
    </row>
    <row r="926" spans="1:11" x14ac:dyDescent="0.3">
      <c r="A926" s="4" t="s">
        <v>899</v>
      </c>
      <c r="B926" s="4" t="s">
        <v>1170</v>
      </c>
      <c r="C926" s="4" t="s">
        <v>17</v>
      </c>
      <c r="D926" s="1">
        <v>43974</v>
      </c>
      <c r="E926" s="4">
        <v>727281463</v>
      </c>
      <c r="F926" s="1">
        <v>44023</v>
      </c>
      <c r="G926" s="3">
        <v>7601</v>
      </c>
      <c r="H926" s="2">
        <v>47.45</v>
      </c>
      <c r="I926" s="2">
        <v>31.79</v>
      </c>
      <c r="J926" s="2">
        <v>360667.45</v>
      </c>
      <c r="K926" s="2">
        <v>241635.78999999998</v>
      </c>
    </row>
    <row r="927" spans="1:11" x14ac:dyDescent="0.3">
      <c r="A927" s="4" t="s">
        <v>900</v>
      </c>
      <c r="B927" s="4" t="s">
        <v>1162</v>
      </c>
      <c r="C927" s="4" t="s">
        <v>19</v>
      </c>
      <c r="D927" s="1">
        <v>44603</v>
      </c>
      <c r="E927" s="4">
        <v>571983277</v>
      </c>
      <c r="F927" s="1">
        <v>44606</v>
      </c>
      <c r="G927" s="3">
        <v>1417</v>
      </c>
      <c r="H927" s="2">
        <v>421.89</v>
      </c>
      <c r="I927" s="2">
        <v>364.69</v>
      </c>
      <c r="J927" s="2">
        <v>597818.13</v>
      </c>
      <c r="K927" s="2">
        <v>516765.73</v>
      </c>
    </row>
    <row r="928" spans="1:11" x14ac:dyDescent="0.3">
      <c r="A928" s="4" t="s">
        <v>901</v>
      </c>
      <c r="B928" s="4" t="s">
        <v>1174</v>
      </c>
      <c r="C928" s="4" t="s">
        <v>17</v>
      </c>
      <c r="D928" s="1">
        <v>43843</v>
      </c>
      <c r="E928" s="4">
        <v>646917331</v>
      </c>
      <c r="F928" s="1">
        <v>43874</v>
      </c>
      <c r="G928" s="3">
        <v>6069</v>
      </c>
      <c r="H928" s="2">
        <v>81.73</v>
      </c>
      <c r="I928" s="2">
        <v>56.67</v>
      </c>
      <c r="J928" s="2">
        <v>496019.37</v>
      </c>
      <c r="K928" s="2">
        <v>343930.23</v>
      </c>
    </row>
    <row r="929" spans="1:11" x14ac:dyDescent="0.3">
      <c r="A929" s="4" t="s">
        <v>902</v>
      </c>
      <c r="B929" s="4" t="s">
        <v>1168</v>
      </c>
      <c r="C929" s="4" t="s">
        <v>19</v>
      </c>
      <c r="D929" s="1">
        <v>44214</v>
      </c>
      <c r="E929" s="4">
        <v>288069951</v>
      </c>
      <c r="F929" s="1">
        <v>44230</v>
      </c>
      <c r="G929" s="3">
        <v>5155</v>
      </c>
      <c r="H929" s="2">
        <v>255.28</v>
      </c>
      <c r="I929" s="2">
        <v>159.41999999999999</v>
      </c>
      <c r="J929" s="2">
        <v>1315968.3999999999</v>
      </c>
      <c r="K929" s="2">
        <v>821810.1</v>
      </c>
    </row>
    <row r="930" spans="1:11" x14ac:dyDescent="0.3">
      <c r="A930" s="4" t="s">
        <v>903</v>
      </c>
      <c r="B930" s="4" t="s">
        <v>1178</v>
      </c>
      <c r="C930" s="4" t="s">
        <v>19</v>
      </c>
      <c r="D930" s="1">
        <v>44726</v>
      </c>
      <c r="E930" s="4">
        <v>701739966</v>
      </c>
      <c r="F930" s="1">
        <v>44758</v>
      </c>
      <c r="G930" s="3">
        <v>9305</v>
      </c>
      <c r="H930" s="2">
        <v>154.06</v>
      </c>
      <c r="I930" s="2">
        <v>90.93</v>
      </c>
      <c r="J930" s="2">
        <v>1433528.3</v>
      </c>
      <c r="K930" s="2">
        <v>846103.65</v>
      </c>
    </row>
    <row r="931" spans="1:11" x14ac:dyDescent="0.3">
      <c r="A931" s="4" t="s">
        <v>461</v>
      </c>
      <c r="B931" s="4" t="s">
        <v>1164</v>
      </c>
      <c r="C931" s="4" t="s">
        <v>14</v>
      </c>
      <c r="D931" s="1">
        <v>44539</v>
      </c>
      <c r="E931" s="4">
        <v>914538705</v>
      </c>
      <c r="F931" s="1">
        <v>44556</v>
      </c>
      <c r="G931" s="3">
        <v>1181</v>
      </c>
      <c r="H931" s="2">
        <v>205.7</v>
      </c>
      <c r="I931" s="2">
        <v>117.11</v>
      </c>
      <c r="J931" s="2">
        <v>242931.69999999998</v>
      </c>
      <c r="K931" s="2">
        <v>138306.91</v>
      </c>
    </row>
    <row r="932" spans="1:11" x14ac:dyDescent="0.3">
      <c r="A932" s="4" t="s">
        <v>904</v>
      </c>
      <c r="B932" s="4" t="s">
        <v>1160</v>
      </c>
      <c r="C932" s="4" t="s">
        <v>14</v>
      </c>
      <c r="D932" s="1">
        <v>44523</v>
      </c>
      <c r="E932" s="4">
        <v>923389995</v>
      </c>
      <c r="F932" s="1">
        <v>44570</v>
      </c>
      <c r="G932" s="3">
        <v>474</v>
      </c>
      <c r="H932" s="2">
        <v>152.58000000000001</v>
      </c>
      <c r="I932" s="2">
        <v>97.44</v>
      </c>
      <c r="J932" s="2">
        <v>72322.920000000013</v>
      </c>
      <c r="K932" s="2">
        <v>46186.559999999998</v>
      </c>
    </row>
    <row r="933" spans="1:11" x14ac:dyDescent="0.3">
      <c r="A933" s="4" t="s">
        <v>708</v>
      </c>
      <c r="B933" s="4" t="s">
        <v>1170</v>
      </c>
      <c r="C933" s="4" t="s">
        <v>19</v>
      </c>
      <c r="D933" s="1">
        <v>44652</v>
      </c>
      <c r="E933" s="4">
        <v>345530164</v>
      </c>
      <c r="F933" s="1">
        <v>44660</v>
      </c>
      <c r="G933" s="3">
        <v>8909</v>
      </c>
      <c r="H933" s="2">
        <v>47.45</v>
      </c>
      <c r="I933" s="2">
        <v>31.79</v>
      </c>
      <c r="J933" s="2">
        <v>422732.05000000005</v>
      </c>
      <c r="K933" s="2">
        <v>283217.11</v>
      </c>
    </row>
    <row r="934" spans="1:11" x14ac:dyDescent="0.3">
      <c r="A934" s="4" t="s">
        <v>905</v>
      </c>
      <c r="B934" s="4" t="s">
        <v>1180</v>
      </c>
      <c r="C934" s="4" t="s">
        <v>17</v>
      </c>
      <c r="D934" s="1">
        <v>44525</v>
      </c>
      <c r="E934" s="4">
        <v>668508040</v>
      </c>
      <c r="F934" s="1">
        <v>44555</v>
      </c>
      <c r="G934" s="3">
        <v>5240</v>
      </c>
      <c r="H934" s="2">
        <v>109.28</v>
      </c>
      <c r="I934" s="2">
        <v>35.840000000000003</v>
      </c>
      <c r="J934" s="2">
        <v>572627.19999999995</v>
      </c>
      <c r="K934" s="2">
        <v>187801.60000000001</v>
      </c>
    </row>
    <row r="935" spans="1:11" x14ac:dyDescent="0.3">
      <c r="A935" s="4" t="s">
        <v>906</v>
      </c>
      <c r="B935" s="4" t="s">
        <v>1176</v>
      </c>
      <c r="C935" s="4" t="s">
        <v>14</v>
      </c>
      <c r="D935" s="1">
        <v>43888</v>
      </c>
      <c r="E935" s="4">
        <v>300184953</v>
      </c>
      <c r="F935" s="1">
        <v>43890</v>
      </c>
      <c r="G935" s="3">
        <v>253</v>
      </c>
      <c r="H935" s="2">
        <v>651.21</v>
      </c>
      <c r="I935" s="2">
        <v>524.96</v>
      </c>
      <c r="J935" s="2">
        <v>164756.13</v>
      </c>
      <c r="K935" s="2">
        <v>132814.88</v>
      </c>
    </row>
    <row r="936" spans="1:11" x14ac:dyDescent="0.3">
      <c r="A936" s="4" t="s">
        <v>907</v>
      </c>
      <c r="B936" s="4" t="s">
        <v>1166</v>
      </c>
      <c r="C936" s="4" t="s">
        <v>17</v>
      </c>
      <c r="D936" s="1">
        <v>44199</v>
      </c>
      <c r="E936" s="4">
        <v>418734729</v>
      </c>
      <c r="F936" s="1">
        <v>44202</v>
      </c>
      <c r="G936" s="3">
        <v>1766</v>
      </c>
      <c r="H936" s="2">
        <v>9.33</v>
      </c>
      <c r="I936" s="2">
        <v>6.92</v>
      </c>
      <c r="J936" s="2">
        <v>16476.78</v>
      </c>
      <c r="K936" s="2">
        <v>12220.72</v>
      </c>
    </row>
    <row r="937" spans="1:11" x14ac:dyDescent="0.3">
      <c r="A937" s="4" t="s">
        <v>908</v>
      </c>
      <c r="B937" s="4" t="s">
        <v>1172</v>
      </c>
      <c r="C937" s="4" t="s">
        <v>19</v>
      </c>
      <c r="D937" s="1">
        <v>43932</v>
      </c>
      <c r="E937" s="4">
        <v>922643697</v>
      </c>
      <c r="F937" s="1">
        <v>43958</v>
      </c>
      <c r="G937" s="3">
        <v>9628</v>
      </c>
      <c r="H937" s="2">
        <v>437.2</v>
      </c>
      <c r="I937" s="2">
        <v>263.33</v>
      </c>
      <c r="J937" s="2">
        <v>4209361.5999999996</v>
      </c>
      <c r="K937" s="2">
        <v>2535341.2399999998</v>
      </c>
    </row>
    <row r="938" spans="1:11" x14ac:dyDescent="0.3">
      <c r="A938" s="4" t="s">
        <v>909</v>
      </c>
      <c r="B938" s="4" t="s">
        <v>1176</v>
      </c>
      <c r="C938" s="4" t="s">
        <v>14</v>
      </c>
      <c r="D938" s="1">
        <v>44316</v>
      </c>
      <c r="E938" s="4">
        <v>880710685</v>
      </c>
      <c r="F938" s="1">
        <v>44366</v>
      </c>
      <c r="G938" s="3">
        <v>718</v>
      </c>
      <c r="H938" s="2">
        <v>651.21</v>
      </c>
      <c r="I938" s="2">
        <v>524.96</v>
      </c>
      <c r="J938" s="2">
        <v>467568.78</v>
      </c>
      <c r="K938" s="2">
        <v>376921.28</v>
      </c>
    </row>
    <row r="939" spans="1:11" x14ac:dyDescent="0.3">
      <c r="A939" s="4" t="s">
        <v>910</v>
      </c>
      <c r="B939" s="4" t="s">
        <v>1182</v>
      </c>
      <c r="C939" s="4" t="s">
        <v>17</v>
      </c>
      <c r="D939" s="1">
        <v>44640</v>
      </c>
      <c r="E939" s="4">
        <v>782047021</v>
      </c>
      <c r="F939" s="1">
        <v>44657</v>
      </c>
      <c r="G939" s="3">
        <v>3947</v>
      </c>
      <c r="H939" s="2">
        <v>668.27</v>
      </c>
      <c r="I939" s="2">
        <v>502.54</v>
      </c>
      <c r="J939" s="2">
        <v>2637661.69</v>
      </c>
      <c r="K939" s="2">
        <v>1983525.3800000001</v>
      </c>
    </row>
    <row r="940" spans="1:11" x14ac:dyDescent="0.3">
      <c r="A940" s="4" t="s">
        <v>911</v>
      </c>
      <c r="B940" s="4" t="s">
        <v>1168</v>
      </c>
      <c r="C940" s="4" t="s">
        <v>12</v>
      </c>
      <c r="D940" s="1">
        <v>44863</v>
      </c>
      <c r="E940" s="4">
        <v>286076533</v>
      </c>
      <c r="F940" s="1">
        <v>44875</v>
      </c>
      <c r="G940" s="3">
        <v>5258</v>
      </c>
      <c r="H940" s="2">
        <v>255.28</v>
      </c>
      <c r="I940" s="2">
        <v>159.41999999999999</v>
      </c>
      <c r="J940" s="2">
        <v>1342262.24</v>
      </c>
      <c r="K940" s="2">
        <v>838230.36</v>
      </c>
    </row>
    <row r="941" spans="1:11" x14ac:dyDescent="0.3">
      <c r="A941" s="4" t="s">
        <v>277</v>
      </c>
      <c r="B941" s="4" t="s">
        <v>1168</v>
      </c>
      <c r="C941" s="4" t="s">
        <v>14</v>
      </c>
      <c r="D941" s="1">
        <v>44044</v>
      </c>
      <c r="E941" s="4">
        <v>472535550</v>
      </c>
      <c r="F941" s="1">
        <v>44072</v>
      </c>
      <c r="G941" s="3">
        <v>2625</v>
      </c>
      <c r="H941" s="2">
        <v>255.28</v>
      </c>
      <c r="I941" s="2">
        <v>159.41999999999999</v>
      </c>
      <c r="J941" s="2">
        <v>670110</v>
      </c>
      <c r="K941" s="2">
        <v>418477.49999999994</v>
      </c>
    </row>
    <row r="942" spans="1:11" x14ac:dyDescent="0.3">
      <c r="A942" s="4" t="s">
        <v>912</v>
      </c>
      <c r="B942" s="4" t="s">
        <v>1162</v>
      </c>
      <c r="C942" s="4" t="s">
        <v>14</v>
      </c>
      <c r="D942" s="1">
        <v>44001</v>
      </c>
      <c r="E942" s="4">
        <v>691472899</v>
      </c>
      <c r="F942" s="1">
        <v>44050</v>
      </c>
      <c r="G942" s="3">
        <v>1052</v>
      </c>
      <c r="H942" s="2">
        <v>421.89</v>
      </c>
      <c r="I942" s="2">
        <v>364.69</v>
      </c>
      <c r="J942" s="2">
        <v>443828.27999999997</v>
      </c>
      <c r="K942" s="2">
        <v>383653.88</v>
      </c>
    </row>
    <row r="943" spans="1:11" x14ac:dyDescent="0.3">
      <c r="A943" s="4" t="s">
        <v>913</v>
      </c>
      <c r="B943" s="4" t="s">
        <v>1168</v>
      </c>
      <c r="C943" s="4" t="s">
        <v>14</v>
      </c>
      <c r="D943" s="1">
        <v>44610</v>
      </c>
      <c r="E943" s="4">
        <v>813249909</v>
      </c>
      <c r="F943" s="1">
        <v>44630</v>
      </c>
      <c r="G943" s="3">
        <v>7575</v>
      </c>
      <c r="H943" s="2">
        <v>255.28</v>
      </c>
      <c r="I943" s="2">
        <v>159.41999999999999</v>
      </c>
      <c r="J943" s="2">
        <v>1933746</v>
      </c>
      <c r="K943" s="2">
        <v>1207606.5</v>
      </c>
    </row>
    <row r="944" spans="1:11" x14ac:dyDescent="0.3">
      <c r="A944" s="4" t="s">
        <v>774</v>
      </c>
      <c r="B944" s="4" t="s">
        <v>1166</v>
      </c>
      <c r="C944" s="4" t="s">
        <v>19</v>
      </c>
      <c r="D944" s="1">
        <v>44328</v>
      </c>
      <c r="E944" s="4">
        <v>778540408</v>
      </c>
      <c r="F944" s="1">
        <v>44356</v>
      </c>
      <c r="G944" s="3">
        <v>6263</v>
      </c>
      <c r="H944" s="2">
        <v>9.33</v>
      </c>
      <c r="I944" s="2">
        <v>6.92</v>
      </c>
      <c r="J944" s="2">
        <v>58433.79</v>
      </c>
      <c r="K944" s="2">
        <v>43339.96</v>
      </c>
    </row>
    <row r="945" spans="1:11" x14ac:dyDescent="0.3">
      <c r="A945" s="4" t="s">
        <v>914</v>
      </c>
      <c r="B945" s="4" t="s">
        <v>1162</v>
      </c>
      <c r="C945" s="4" t="s">
        <v>12</v>
      </c>
      <c r="D945" s="1">
        <v>43847</v>
      </c>
      <c r="E945" s="4">
        <v>148330724</v>
      </c>
      <c r="F945" s="1">
        <v>43868</v>
      </c>
      <c r="G945" s="3">
        <v>3212</v>
      </c>
      <c r="H945" s="2">
        <v>421.89</v>
      </c>
      <c r="I945" s="2">
        <v>364.69</v>
      </c>
      <c r="J945" s="2">
        <v>1355110.68</v>
      </c>
      <c r="K945" s="2">
        <v>1171384.28</v>
      </c>
    </row>
    <row r="946" spans="1:11" x14ac:dyDescent="0.3">
      <c r="A946" s="4" t="s">
        <v>915</v>
      </c>
      <c r="B946" s="4" t="s">
        <v>1166</v>
      </c>
      <c r="C946" s="4" t="s">
        <v>17</v>
      </c>
      <c r="D946" s="1">
        <v>44527</v>
      </c>
      <c r="E946" s="4">
        <v>353919684</v>
      </c>
      <c r="F946" s="1">
        <v>44562</v>
      </c>
      <c r="G946" s="3">
        <v>1554</v>
      </c>
      <c r="H946" s="2">
        <v>9.33</v>
      </c>
      <c r="I946" s="2">
        <v>6.92</v>
      </c>
      <c r="J946" s="2">
        <v>14498.82</v>
      </c>
      <c r="K946" s="2">
        <v>10753.68</v>
      </c>
    </row>
    <row r="947" spans="1:11" x14ac:dyDescent="0.3">
      <c r="A947" s="4" t="s">
        <v>901</v>
      </c>
      <c r="B947" s="4" t="s">
        <v>1180</v>
      </c>
      <c r="C947" s="4" t="s">
        <v>19</v>
      </c>
      <c r="D947" s="1">
        <v>44743</v>
      </c>
      <c r="E947" s="4">
        <v>646918618</v>
      </c>
      <c r="F947" s="1">
        <v>44761</v>
      </c>
      <c r="G947" s="3">
        <v>6450</v>
      </c>
      <c r="H947" s="2">
        <v>109.28</v>
      </c>
      <c r="I947" s="2">
        <v>35.840000000000003</v>
      </c>
      <c r="J947" s="2">
        <v>704856</v>
      </c>
      <c r="K947" s="2">
        <v>231168.00000000003</v>
      </c>
    </row>
    <row r="948" spans="1:11" x14ac:dyDescent="0.3">
      <c r="A948" s="4" t="s">
        <v>916</v>
      </c>
      <c r="B948" s="4" t="s">
        <v>1178</v>
      </c>
      <c r="C948" s="4" t="s">
        <v>17</v>
      </c>
      <c r="D948" s="1">
        <v>44584</v>
      </c>
      <c r="E948" s="4">
        <v>349251353</v>
      </c>
      <c r="F948" s="1">
        <v>44595</v>
      </c>
      <c r="G948" s="3">
        <v>91</v>
      </c>
      <c r="H948" s="2">
        <v>154.06</v>
      </c>
      <c r="I948" s="2">
        <v>90.93</v>
      </c>
      <c r="J948" s="2">
        <v>14019.460000000001</v>
      </c>
      <c r="K948" s="2">
        <v>8274.630000000001</v>
      </c>
    </row>
    <row r="949" spans="1:11" x14ac:dyDescent="0.3">
      <c r="A949" s="4" t="s">
        <v>917</v>
      </c>
      <c r="B949" s="4" t="s">
        <v>1170</v>
      </c>
      <c r="C949" s="4" t="s">
        <v>19</v>
      </c>
      <c r="D949" s="1">
        <v>44286</v>
      </c>
      <c r="E949" s="4">
        <v>203154218</v>
      </c>
      <c r="F949" s="1">
        <v>44299</v>
      </c>
      <c r="G949" s="3">
        <v>6702</v>
      </c>
      <c r="H949" s="2">
        <v>47.45</v>
      </c>
      <c r="I949" s="2">
        <v>31.79</v>
      </c>
      <c r="J949" s="2">
        <v>318009.90000000002</v>
      </c>
      <c r="K949" s="2">
        <v>213056.58</v>
      </c>
    </row>
    <row r="950" spans="1:11" x14ac:dyDescent="0.3">
      <c r="A950" s="4" t="s">
        <v>918</v>
      </c>
      <c r="B950" s="4" t="s">
        <v>1170</v>
      </c>
      <c r="C950" s="4" t="s">
        <v>17</v>
      </c>
      <c r="D950" s="1">
        <v>44750</v>
      </c>
      <c r="E950" s="4">
        <v>121176040</v>
      </c>
      <c r="F950" s="1">
        <v>44765</v>
      </c>
      <c r="G950" s="3">
        <v>7538</v>
      </c>
      <c r="H950" s="2">
        <v>47.45</v>
      </c>
      <c r="I950" s="2">
        <v>31.79</v>
      </c>
      <c r="J950" s="2">
        <v>357678.10000000003</v>
      </c>
      <c r="K950" s="2">
        <v>239633.02</v>
      </c>
    </row>
    <row r="951" spans="1:11" x14ac:dyDescent="0.3">
      <c r="A951" s="4" t="s">
        <v>919</v>
      </c>
      <c r="B951" s="4" t="s">
        <v>1168</v>
      </c>
      <c r="C951" s="4" t="s">
        <v>17</v>
      </c>
      <c r="D951" s="1">
        <v>43897</v>
      </c>
      <c r="E951" s="4">
        <v>536178147</v>
      </c>
      <c r="F951" s="1">
        <v>43917</v>
      </c>
      <c r="G951" s="3">
        <v>5884</v>
      </c>
      <c r="H951" s="2">
        <v>255.28</v>
      </c>
      <c r="I951" s="2">
        <v>159.41999999999999</v>
      </c>
      <c r="J951" s="2">
        <v>1502067.52</v>
      </c>
      <c r="K951" s="2">
        <v>938027.27999999991</v>
      </c>
    </row>
    <row r="952" spans="1:11" x14ac:dyDescent="0.3">
      <c r="A952" s="4" t="s">
        <v>920</v>
      </c>
      <c r="B952" s="4" t="s">
        <v>1178</v>
      </c>
      <c r="C952" s="4" t="s">
        <v>14</v>
      </c>
      <c r="D952" s="1">
        <v>44490</v>
      </c>
      <c r="E952" s="4">
        <v>151334369</v>
      </c>
      <c r="F952" s="1">
        <v>44507</v>
      </c>
      <c r="G952" s="3">
        <v>2058</v>
      </c>
      <c r="H952" s="2">
        <v>154.06</v>
      </c>
      <c r="I952" s="2">
        <v>90.93</v>
      </c>
      <c r="J952" s="2">
        <v>317055.48</v>
      </c>
      <c r="K952" s="2">
        <v>187133.94</v>
      </c>
    </row>
    <row r="953" spans="1:11" x14ac:dyDescent="0.3">
      <c r="A953" s="4" t="s">
        <v>921</v>
      </c>
      <c r="B953" s="4" t="s">
        <v>1174</v>
      </c>
      <c r="C953" s="4" t="s">
        <v>17</v>
      </c>
      <c r="D953" s="1">
        <v>44219</v>
      </c>
      <c r="E953" s="4">
        <v>890131032</v>
      </c>
      <c r="F953" s="1">
        <v>44232</v>
      </c>
      <c r="G953" s="3">
        <v>8408</v>
      </c>
      <c r="H953" s="2">
        <v>81.73</v>
      </c>
      <c r="I953" s="2">
        <v>56.67</v>
      </c>
      <c r="J953" s="2">
        <v>687185.84000000008</v>
      </c>
      <c r="K953" s="2">
        <v>476481.36</v>
      </c>
    </row>
    <row r="954" spans="1:11" x14ac:dyDescent="0.3">
      <c r="A954" s="4" t="s">
        <v>922</v>
      </c>
      <c r="B954" s="4" t="s">
        <v>1182</v>
      </c>
      <c r="C954" s="4" t="s">
        <v>14</v>
      </c>
      <c r="D954" s="1">
        <v>44575</v>
      </c>
      <c r="E954" s="4">
        <v>246366965</v>
      </c>
      <c r="F954" s="1">
        <v>44625</v>
      </c>
      <c r="G954" s="3">
        <v>4315</v>
      </c>
      <c r="H954" s="2">
        <v>668.27</v>
      </c>
      <c r="I954" s="2">
        <v>502.54</v>
      </c>
      <c r="J954" s="2">
        <v>2883585.05</v>
      </c>
      <c r="K954" s="2">
        <v>2168460.1</v>
      </c>
    </row>
    <row r="955" spans="1:11" x14ac:dyDescent="0.3">
      <c r="A955" s="4" t="s">
        <v>923</v>
      </c>
      <c r="B955" s="4" t="s">
        <v>1164</v>
      </c>
      <c r="C955" s="4" t="s">
        <v>17</v>
      </c>
      <c r="D955" s="1">
        <v>44064</v>
      </c>
      <c r="E955" s="4">
        <v>734153497</v>
      </c>
      <c r="F955" s="1">
        <v>44096</v>
      </c>
      <c r="G955" s="3">
        <v>1189</v>
      </c>
      <c r="H955" s="2">
        <v>205.7</v>
      </c>
      <c r="I955" s="2">
        <v>117.11</v>
      </c>
      <c r="J955" s="2">
        <v>244577.3</v>
      </c>
      <c r="K955" s="2">
        <v>139243.79</v>
      </c>
    </row>
    <row r="956" spans="1:11" x14ac:dyDescent="0.3">
      <c r="A956" s="4" t="s">
        <v>924</v>
      </c>
      <c r="B956" s="4" t="s">
        <v>1174</v>
      </c>
      <c r="C956" s="4" t="s">
        <v>19</v>
      </c>
      <c r="D956" s="1">
        <v>43948</v>
      </c>
      <c r="E956" s="4">
        <v>437914454</v>
      </c>
      <c r="F956" s="1">
        <v>43953</v>
      </c>
      <c r="G956" s="3">
        <v>7473</v>
      </c>
      <c r="H956" s="2">
        <v>81.73</v>
      </c>
      <c r="I956" s="2">
        <v>56.67</v>
      </c>
      <c r="J956" s="2">
        <v>610768.29</v>
      </c>
      <c r="K956" s="2">
        <v>423494.91000000003</v>
      </c>
    </row>
    <row r="957" spans="1:11" x14ac:dyDescent="0.3">
      <c r="A957" s="4" t="s">
        <v>925</v>
      </c>
      <c r="B957" s="4" t="s">
        <v>1182</v>
      </c>
      <c r="C957" s="4" t="s">
        <v>14</v>
      </c>
      <c r="D957" s="1">
        <v>44593</v>
      </c>
      <c r="E957" s="4">
        <v>662386167</v>
      </c>
      <c r="F957" s="1">
        <v>44621</v>
      </c>
      <c r="G957" s="3">
        <v>3641</v>
      </c>
      <c r="H957" s="2">
        <v>668.27</v>
      </c>
      <c r="I957" s="2">
        <v>502.54</v>
      </c>
      <c r="J957" s="2">
        <v>2433171.0699999998</v>
      </c>
      <c r="K957" s="2">
        <v>1829748.1400000001</v>
      </c>
    </row>
    <row r="958" spans="1:11" x14ac:dyDescent="0.3">
      <c r="A958" s="4" t="s">
        <v>926</v>
      </c>
      <c r="B958" s="4" t="s">
        <v>1180</v>
      </c>
      <c r="C958" s="4" t="s">
        <v>19</v>
      </c>
      <c r="D958" s="1">
        <v>43902</v>
      </c>
      <c r="E958" s="4">
        <v>982617461</v>
      </c>
      <c r="F958" s="1">
        <v>43946</v>
      </c>
      <c r="G958" s="3">
        <v>7198</v>
      </c>
      <c r="H958" s="2">
        <v>109.28</v>
      </c>
      <c r="I958" s="2">
        <v>35.840000000000003</v>
      </c>
      <c r="J958" s="2">
        <v>786597.44000000006</v>
      </c>
      <c r="K958" s="2">
        <v>257976.32000000004</v>
      </c>
    </row>
    <row r="959" spans="1:11" x14ac:dyDescent="0.3">
      <c r="A959" s="4" t="s">
        <v>927</v>
      </c>
      <c r="B959" s="4" t="s">
        <v>1172</v>
      </c>
      <c r="C959" s="4" t="s">
        <v>12</v>
      </c>
      <c r="D959" s="1">
        <v>44099</v>
      </c>
      <c r="E959" s="4">
        <v>593969666</v>
      </c>
      <c r="F959" s="1">
        <v>44112</v>
      </c>
      <c r="G959" s="3">
        <v>7678</v>
      </c>
      <c r="H959" s="2">
        <v>437.2</v>
      </c>
      <c r="I959" s="2">
        <v>263.33</v>
      </c>
      <c r="J959" s="2">
        <v>3356821.6</v>
      </c>
      <c r="K959" s="2">
        <v>2021847.74</v>
      </c>
    </row>
    <row r="960" spans="1:11" x14ac:dyDescent="0.3">
      <c r="A960" s="4" t="s">
        <v>928</v>
      </c>
      <c r="B960" s="4" t="s">
        <v>1178</v>
      </c>
      <c r="C960" s="4" t="s">
        <v>14</v>
      </c>
      <c r="D960" s="1">
        <v>43903</v>
      </c>
      <c r="E960" s="4">
        <v>562116611</v>
      </c>
      <c r="F960" s="1">
        <v>43937</v>
      </c>
      <c r="G960" s="3">
        <v>1651</v>
      </c>
      <c r="H960" s="2">
        <v>154.06</v>
      </c>
      <c r="I960" s="2">
        <v>90.93</v>
      </c>
      <c r="J960" s="2">
        <v>254353.06</v>
      </c>
      <c r="K960" s="2">
        <v>150125.43000000002</v>
      </c>
    </row>
    <row r="961" spans="1:11" x14ac:dyDescent="0.3">
      <c r="A961" s="4" t="s">
        <v>929</v>
      </c>
      <c r="B961" s="4" t="s">
        <v>1178</v>
      </c>
      <c r="C961" s="4" t="s">
        <v>19</v>
      </c>
      <c r="D961" s="1">
        <v>44266</v>
      </c>
      <c r="E961" s="4">
        <v>673044621</v>
      </c>
      <c r="F961" s="1">
        <v>44281</v>
      </c>
      <c r="G961" s="3">
        <v>7715</v>
      </c>
      <c r="H961" s="2">
        <v>154.06</v>
      </c>
      <c r="I961" s="2">
        <v>90.93</v>
      </c>
      <c r="J961" s="2">
        <v>1188572.8999999999</v>
      </c>
      <c r="K961" s="2">
        <v>701524.95000000007</v>
      </c>
    </row>
    <row r="962" spans="1:11" x14ac:dyDescent="0.3">
      <c r="A962" s="4" t="s">
        <v>930</v>
      </c>
      <c r="B962" s="4" t="s">
        <v>1176</v>
      </c>
      <c r="C962" s="4" t="s">
        <v>14</v>
      </c>
      <c r="D962" s="1">
        <v>44722</v>
      </c>
      <c r="E962" s="4">
        <v>783052527</v>
      </c>
      <c r="F962" s="1">
        <v>44729</v>
      </c>
      <c r="G962" s="3">
        <v>1499</v>
      </c>
      <c r="H962" s="2">
        <v>651.21</v>
      </c>
      <c r="I962" s="2">
        <v>524.96</v>
      </c>
      <c r="J962" s="2">
        <v>976163.79</v>
      </c>
      <c r="K962" s="2">
        <v>786915.04</v>
      </c>
    </row>
    <row r="963" spans="1:11" x14ac:dyDescent="0.3">
      <c r="A963" s="4" t="s">
        <v>460</v>
      </c>
      <c r="B963" s="4" t="s">
        <v>1162</v>
      </c>
      <c r="C963" s="4" t="s">
        <v>17</v>
      </c>
      <c r="D963" s="1">
        <v>43907</v>
      </c>
      <c r="E963" s="4">
        <v>368751657</v>
      </c>
      <c r="F963" s="1">
        <v>43928</v>
      </c>
      <c r="G963" s="3">
        <v>664</v>
      </c>
      <c r="H963" s="2">
        <v>421.89</v>
      </c>
      <c r="I963" s="2">
        <v>364.69</v>
      </c>
      <c r="J963" s="2">
        <v>280134.95999999996</v>
      </c>
      <c r="K963" s="2">
        <v>242154.16</v>
      </c>
    </row>
    <row r="964" spans="1:11" x14ac:dyDescent="0.3">
      <c r="A964" s="4" t="s">
        <v>931</v>
      </c>
      <c r="B964" s="4" t="s">
        <v>1182</v>
      </c>
      <c r="C964" s="4" t="s">
        <v>17</v>
      </c>
      <c r="D964" s="1">
        <v>44259</v>
      </c>
      <c r="E964" s="4">
        <v>777065837</v>
      </c>
      <c r="F964" s="1">
        <v>44267</v>
      </c>
      <c r="G964" s="3">
        <v>9904</v>
      </c>
      <c r="H964" s="2">
        <v>668.27</v>
      </c>
      <c r="I964" s="2">
        <v>502.54</v>
      </c>
      <c r="J964" s="2">
        <v>6618546.0800000001</v>
      </c>
      <c r="K964" s="2">
        <v>4977156.16</v>
      </c>
    </row>
    <row r="965" spans="1:11" x14ac:dyDescent="0.3">
      <c r="A965" s="4" t="s">
        <v>932</v>
      </c>
      <c r="B965" s="4" t="s">
        <v>1160</v>
      </c>
      <c r="C965" s="4" t="s">
        <v>17</v>
      </c>
      <c r="D965" s="1">
        <v>44184</v>
      </c>
      <c r="E965" s="4">
        <v>275231397</v>
      </c>
      <c r="F965" s="1">
        <v>44217</v>
      </c>
      <c r="G965" s="3">
        <v>5941</v>
      </c>
      <c r="H965" s="2">
        <v>152.58000000000001</v>
      </c>
      <c r="I965" s="2">
        <v>97.44</v>
      </c>
      <c r="J965" s="2">
        <v>906477.78</v>
      </c>
      <c r="K965" s="2">
        <v>578891.04</v>
      </c>
    </row>
    <row r="966" spans="1:11" x14ac:dyDescent="0.3">
      <c r="A966" s="4" t="s">
        <v>933</v>
      </c>
      <c r="B966" s="4" t="s">
        <v>1180</v>
      </c>
      <c r="C966" s="4" t="s">
        <v>19</v>
      </c>
      <c r="D966" s="1">
        <v>44849</v>
      </c>
      <c r="E966" s="4">
        <v>800797164</v>
      </c>
      <c r="F966" s="1">
        <v>44896</v>
      </c>
      <c r="G966" s="3">
        <v>2531</v>
      </c>
      <c r="H966" s="2">
        <v>109.28</v>
      </c>
      <c r="I966" s="2">
        <v>35.840000000000003</v>
      </c>
      <c r="J966" s="2">
        <v>276587.68</v>
      </c>
      <c r="K966" s="2">
        <v>90711.040000000008</v>
      </c>
    </row>
    <row r="967" spans="1:11" x14ac:dyDescent="0.3">
      <c r="A967" s="4" t="s">
        <v>934</v>
      </c>
      <c r="B967" s="4" t="s">
        <v>1172</v>
      </c>
      <c r="C967" s="4" t="s">
        <v>14</v>
      </c>
      <c r="D967" s="1">
        <v>44433</v>
      </c>
      <c r="E967" s="4">
        <v>311624467</v>
      </c>
      <c r="F967" s="1">
        <v>44447</v>
      </c>
      <c r="G967" s="3">
        <v>5460</v>
      </c>
      <c r="H967" s="2">
        <v>437.2</v>
      </c>
      <c r="I967" s="2">
        <v>263.33</v>
      </c>
      <c r="J967" s="2">
        <v>2387112</v>
      </c>
      <c r="K967" s="2">
        <v>1437781.7999999998</v>
      </c>
    </row>
    <row r="968" spans="1:11" x14ac:dyDescent="0.3">
      <c r="A968" s="4" t="s">
        <v>28</v>
      </c>
      <c r="B968" s="4" t="s">
        <v>1170</v>
      </c>
      <c r="C968" s="4" t="s">
        <v>17</v>
      </c>
      <c r="D968" s="1">
        <v>43872</v>
      </c>
      <c r="E968" s="4">
        <v>435887134</v>
      </c>
      <c r="F968" s="1">
        <v>43911</v>
      </c>
      <c r="G968" s="3">
        <v>7544</v>
      </c>
      <c r="H968" s="2">
        <v>47.45</v>
      </c>
      <c r="I968" s="2">
        <v>31.79</v>
      </c>
      <c r="J968" s="2">
        <v>357962.80000000005</v>
      </c>
      <c r="K968" s="2">
        <v>239823.75999999998</v>
      </c>
    </row>
    <row r="969" spans="1:11" x14ac:dyDescent="0.3">
      <c r="A969" s="4" t="s">
        <v>935</v>
      </c>
      <c r="B969" s="4" t="s">
        <v>1178</v>
      </c>
      <c r="C969" s="4" t="s">
        <v>14</v>
      </c>
      <c r="D969" s="1">
        <v>44249</v>
      </c>
      <c r="E969" s="4">
        <v>622071492</v>
      </c>
      <c r="F969" s="1">
        <v>44289</v>
      </c>
      <c r="G969" s="3">
        <v>3633</v>
      </c>
      <c r="H969" s="2">
        <v>154.06</v>
      </c>
      <c r="I969" s="2">
        <v>90.93</v>
      </c>
      <c r="J969" s="2">
        <v>559699.98</v>
      </c>
      <c r="K969" s="2">
        <v>330348.69</v>
      </c>
    </row>
    <row r="970" spans="1:11" x14ac:dyDescent="0.3">
      <c r="A970" s="4" t="s">
        <v>936</v>
      </c>
      <c r="B970" s="4" t="s">
        <v>1172</v>
      </c>
      <c r="C970" s="4" t="s">
        <v>19</v>
      </c>
      <c r="D970" s="1">
        <v>44185</v>
      </c>
      <c r="E970" s="4">
        <v>388976371</v>
      </c>
      <c r="F970" s="1">
        <v>44205</v>
      </c>
      <c r="G970" s="3">
        <v>5607</v>
      </c>
      <c r="H970" s="2">
        <v>437.2</v>
      </c>
      <c r="I970" s="2">
        <v>263.33</v>
      </c>
      <c r="J970" s="2">
        <v>2451380.4</v>
      </c>
      <c r="K970" s="2">
        <v>1476491.3099999998</v>
      </c>
    </row>
    <row r="971" spans="1:11" x14ac:dyDescent="0.3">
      <c r="A971" s="4" t="s">
        <v>937</v>
      </c>
      <c r="B971" s="4" t="s">
        <v>1174</v>
      </c>
      <c r="C971" s="4" t="s">
        <v>12</v>
      </c>
      <c r="D971" s="1">
        <v>44535</v>
      </c>
      <c r="E971" s="4">
        <v>675713098</v>
      </c>
      <c r="F971" s="1">
        <v>44584</v>
      </c>
      <c r="G971" s="3">
        <v>7376</v>
      </c>
      <c r="H971" s="2">
        <v>81.73</v>
      </c>
      <c r="I971" s="2">
        <v>56.67</v>
      </c>
      <c r="J971" s="2">
        <v>602840.48</v>
      </c>
      <c r="K971" s="2">
        <v>417997.92</v>
      </c>
    </row>
    <row r="972" spans="1:11" x14ac:dyDescent="0.3">
      <c r="A972" s="4" t="s">
        <v>938</v>
      </c>
      <c r="B972" s="4" t="s">
        <v>1166</v>
      </c>
      <c r="C972" s="4" t="s">
        <v>19</v>
      </c>
      <c r="D972" s="1">
        <v>44733</v>
      </c>
      <c r="E972" s="4">
        <v>691705501</v>
      </c>
      <c r="F972" s="1">
        <v>44766</v>
      </c>
      <c r="G972" s="3">
        <v>9884</v>
      </c>
      <c r="H972" s="2">
        <v>9.33</v>
      </c>
      <c r="I972" s="2">
        <v>6.92</v>
      </c>
      <c r="J972" s="2">
        <v>92217.72</v>
      </c>
      <c r="K972" s="2">
        <v>68397.279999999999</v>
      </c>
    </row>
    <row r="973" spans="1:11" x14ac:dyDescent="0.3">
      <c r="A973" s="4" t="s">
        <v>939</v>
      </c>
      <c r="B973" s="4" t="s">
        <v>1172</v>
      </c>
      <c r="C973" s="4" t="s">
        <v>19</v>
      </c>
      <c r="D973" s="1">
        <v>44364</v>
      </c>
      <c r="E973" s="4">
        <v>166689908</v>
      </c>
      <c r="F973" s="1">
        <v>44406</v>
      </c>
      <c r="G973" s="3">
        <v>6103</v>
      </c>
      <c r="H973" s="2">
        <v>437.2</v>
      </c>
      <c r="I973" s="2">
        <v>263.33</v>
      </c>
      <c r="J973" s="2">
        <v>2668231.6</v>
      </c>
      <c r="K973" s="2">
        <v>1607102.99</v>
      </c>
    </row>
    <row r="974" spans="1:11" x14ac:dyDescent="0.3">
      <c r="A974" s="4" t="s">
        <v>940</v>
      </c>
      <c r="B974" s="4" t="s">
        <v>1182</v>
      </c>
      <c r="C974" s="4" t="s">
        <v>14</v>
      </c>
      <c r="D974" s="1">
        <v>44721</v>
      </c>
      <c r="E974" s="4">
        <v>700715148</v>
      </c>
      <c r="F974" s="1">
        <v>44756</v>
      </c>
      <c r="G974" s="3">
        <v>6039</v>
      </c>
      <c r="H974" s="2">
        <v>668.27</v>
      </c>
      <c r="I974" s="2">
        <v>502.54</v>
      </c>
      <c r="J974" s="2">
        <v>4035682.53</v>
      </c>
      <c r="K974" s="2">
        <v>3034839.06</v>
      </c>
    </row>
    <row r="975" spans="1:11" x14ac:dyDescent="0.3">
      <c r="A975" s="4" t="s">
        <v>24</v>
      </c>
      <c r="B975" s="4" t="s">
        <v>1170</v>
      </c>
      <c r="C975" s="4" t="s">
        <v>19</v>
      </c>
      <c r="D975" s="1">
        <v>44115</v>
      </c>
      <c r="E975" s="4">
        <v>814142549</v>
      </c>
      <c r="F975" s="1">
        <v>44149</v>
      </c>
      <c r="G975" s="3">
        <v>1727</v>
      </c>
      <c r="H975" s="2">
        <v>47.45</v>
      </c>
      <c r="I975" s="2">
        <v>31.79</v>
      </c>
      <c r="J975" s="2">
        <v>81946.150000000009</v>
      </c>
      <c r="K975" s="2">
        <v>54901.33</v>
      </c>
    </row>
    <row r="976" spans="1:11" x14ac:dyDescent="0.3">
      <c r="A976" s="4" t="s">
        <v>941</v>
      </c>
      <c r="B976" s="4" t="s">
        <v>1160</v>
      </c>
      <c r="C976" s="4" t="s">
        <v>12</v>
      </c>
      <c r="D976" s="1">
        <v>44657</v>
      </c>
      <c r="E976" s="4">
        <v>897645938</v>
      </c>
      <c r="F976" s="1">
        <v>44704</v>
      </c>
      <c r="G976" s="3">
        <v>2236</v>
      </c>
      <c r="H976" s="2">
        <v>152.58000000000001</v>
      </c>
      <c r="I976" s="2">
        <v>97.44</v>
      </c>
      <c r="J976" s="2">
        <v>341168.88</v>
      </c>
      <c r="K976" s="2">
        <v>217875.84</v>
      </c>
    </row>
    <row r="977" spans="1:11" x14ac:dyDescent="0.3">
      <c r="A977" s="4" t="s">
        <v>942</v>
      </c>
      <c r="B977" s="4" t="s">
        <v>1176</v>
      </c>
      <c r="C977" s="4" t="s">
        <v>14</v>
      </c>
      <c r="D977" s="1">
        <v>44429</v>
      </c>
      <c r="E977" s="4">
        <v>962211644</v>
      </c>
      <c r="F977" s="1">
        <v>44478</v>
      </c>
      <c r="G977" s="3">
        <v>8663</v>
      </c>
      <c r="H977" s="2">
        <v>651.21</v>
      </c>
      <c r="I977" s="2">
        <v>524.96</v>
      </c>
      <c r="J977" s="2">
        <v>5641432.2300000004</v>
      </c>
      <c r="K977" s="2">
        <v>4547728.4800000004</v>
      </c>
    </row>
    <row r="978" spans="1:11" x14ac:dyDescent="0.3">
      <c r="A978" s="4" t="s">
        <v>943</v>
      </c>
      <c r="B978" s="4" t="s">
        <v>1182</v>
      </c>
      <c r="C978" s="4" t="s">
        <v>17</v>
      </c>
      <c r="D978" s="1">
        <v>44269</v>
      </c>
      <c r="E978" s="4">
        <v>189138495</v>
      </c>
      <c r="F978" s="1">
        <v>44269</v>
      </c>
      <c r="G978" s="3">
        <v>9139</v>
      </c>
      <c r="H978" s="2">
        <v>668.27</v>
      </c>
      <c r="I978" s="2">
        <v>502.54</v>
      </c>
      <c r="J978" s="2">
        <v>6107319.5300000003</v>
      </c>
      <c r="K978" s="2">
        <v>4592713.0600000005</v>
      </c>
    </row>
    <row r="979" spans="1:11" x14ac:dyDescent="0.3">
      <c r="A979" s="4" t="s">
        <v>944</v>
      </c>
      <c r="B979" s="4" t="s">
        <v>1166</v>
      </c>
      <c r="C979" s="4" t="s">
        <v>17</v>
      </c>
      <c r="D979" s="1">
        <v>44119</v>
      </c>
      <c r="E979" s="4">
        <v>980037820</v>
      </c>
      <c r="F979" s="1">
        <v>44145</v>
      </c>
      <c r="G979" s="3">
        <v>3824</v>
      </c>
      <c r="H979" s="2">
        <v>9.33</v>
      </c>
      <c r="I979" s="2">
        <v>6.92</v>
      </c>
      <c r="J979" s="2">
        <v>35677.919999999998</v>
      </c>
      <c r="K979" s="2">
        <v>26462.079999999998</v>
      </c>
    </row>
    <row r="980" spans="1:11" x14ac:dyDescent="0.3">
      <c r="A980" s="4" t="s">
        <v>945</v>
      </c>
      <c r="B980" s="4" t="s">
        <v>1168</v>
      </c>
      <c r="C980" s="4" t="s">
        <v>14</v>
      </c>
      <c r="D980" s="1">
        <v>44589</v>
      </c>
      <c r="E980" s="4">
        <v>406833446</v>
      </c>
      <c r="F980" s="1">
        <v>44629</v>
      </c>
      <c r="G980" s="3">
        <v>9912</v>
      </c>
      <c r="H980" s="2">
        <v>255.28</v>
      </c>
      <c r="I980" s="2">
        <v>159.41999999999999</v>
      </c>
      <c r="J980" s="2">
        <v>2530335.36</v>
      </c>
      <c r="K980" s="2">
        <v>1580171.0399999998</v>
      </c>
    </row>
    <row r="981" spans="1:11" x14ac:dyDescent="0.3">
      <c r="A981" s="4" t="s">
        <v>946</v>
      </c>
      <c r="B981" s="4" t="s">
        <v>1162</v>
      </c>
      <c r="C981" s="4" t="s">
        <v>17</v>
      </c>
      <c r="D981" s="1">
        <v>44348</v>
      </c>
      <c r="E981" s="4">
        <v>561761701</v>
      </c>
      <c r="F981" s="1">
        <v>44365</v>
      </c>
      <c r="G981" s="3">
        <v>6626</v>
      </c>
      <c r="H981" s="2">
        <v>421.89</v>
      </c>
      <c r="I981" s="2">
        <v>364.69</v>
      </c>
      <c r="J981" s="2">
        <v>2795443.14</v>
      </c>
      <c r="K981" s="2">
        <v>2416435.94</v>
      </c>
    </row>
    <row r="982" spans="1:11" x14ac:dyDescent="0.3">
      <c r="A982" s="4" t="s">
        <v>947</v>
      </c>
      <c r="B982" s="4" t="s">
        <v>1178</v>
      </c>
      <c r="C982" s="4" t="s">
        <v>12</v>
      </c>
      <c r="D982" s="1">
        <v>44822</v>
      </c>
      <c r="E982" s="4">
        <v>907371413</v>
      </c>
      <c r="F982" s="1">
        <v>44845</v>
      </c>
      <c r="G982" s="3">
        <v>220</v>
      </c>
      <c r="H982" s="2">
        <v>154.06</v>
      </c>
      <c r="I982" s="2">
        <v>90.93</v>
      </c>
      <c r="J982" s="2">
        <v>33893.199999999997</v>
      </c>
      <c r="K982" s="2">
        <v>20004.600000000002</v>
      </c>
    </row>
    <row r="983" spans="1:11" x14ac:dyDescent="0.3">
      <c r="A983" s="4" t="s">
        <v>948</v>
      </c>
      <c r="B983" s="4" t="s">
        <v>1170</v>
      </c>
      <c r="C983" s="4" t="s">
        <v>19</v>
      </c>
      <c r="D983" s="1">
        <v>44450</v>
      </c>
      <c r="E983" s="4">
        <v>526523911</v>
      </c>
      <c r="F983" s="1">
        <v>44485</v>
      </c>
      <c r="G983" s="3">
        <v>8981</v>
      </c>
      <c r="H983" s="2">
        <v>47.45</v>
      </c>
      <c r="I983" s="2">
        <v>31.79</v>
      </c>
      <c r="J983" s="2">
        <v>426148.45</v>
      </c>
      <c r="K983" s="2">
        <v>285505.99</v>
      </c>
    </row>
    <row r="984" spans="1:11" x14ac:dyDescent="0.3">
      <c r="A984" s="4" t="s">
        <v>949</v>
      </c>
      <c r="B984" s="4" t="s">
        <v>1170</v>
      </c>
      <c r="C984" s="4" t="s">
        <v>14</v>
      </c>
      <c r="D984" s="1">
        <v>44432</v>
      </c>
      <c r="E984" s="4">
        <v>372393023</v>
      </c>
      <c r="F984" s="1">
        <v>44451</v>
      </c>
      <c r="G984" s="3">
        <v>8226</v>
      </c>
      <c r="H984" s="2">
        <v>47.45</v>
      </c>
      <c r="I984" s="2">
        <v>31.79</v>
      </c>
      <c r="J984" s="2">
        <v>390323.7</v>
      </c>
      <c r="K984" s="2">
        <v>261504.53999999998</v>
      </c>
    </row>
    <row r="985" spans="1:11" x14ac:dyDescent="0.3">
      <c r="A985" s="4" t="s">
        <v>473</v>
      </c>
      <c r="B985" s="4" t="s">
        <v>1176</v>
      </c>
      <c r="C985" s="4" t="s">
        <v>19</v>
      </c>
      <c r="D985" s="1">
        <v>44023</v>
      </c>
      <c r="E985" s="4">
        <v>118465077</v>
      </c>
      <c r="F985" s="1">
        <v>44028</v>
      </c>
      <c r="G985" s="3">
        <v>5304</v>
      </c>
      <c r="H985" s="2">
        <v>651.21</v>
      </c>
      <c r="I985" s="2">
        <v>524.96</v>
      </c>
      <c r="J985" s="2">
        <v>3454017.8400000003</v>
      </c>
      <c r="K985" s="2">
        <v>2784387.8400000003</v>
      </c>
    </row>
    <row r="986" spans="1:11" x14ac:dyDescent="0.3">
      <c r="A986" s="4" t="s">
        <v>950</v>
      </c>
      <c r="B986" s="4" t="s">
        <v>1160</v>
      </c>
      <c r="C986" s="4" t="s">
        <v>12</v>
      </c>
      <c r="D986" s="1">
        <v>44191</v>
      </c>
      <c r="E986" s="4">
        <v>408538901</v>
      </c>
      <c r="F986" s="1">
        <v>44201</v>
      </c>
      <c r="G986" s="3">
        <v>4594</v>
      </c>
      <c r="H986" s="2">
        <v>152.58000000000001</v>
      </c>
      <c r="I986" s="2">
        <v>97.44</v>
      </c>
      <c r="J986" s="2">
        <v>700952.52</v>
      </c>
      <c r="K986" s="2">
        <v>447639.36</v>
      </c>
    </row>
    <row r="987" spans="1:11" x14ac:dyDescent="0.3">
      <c r="A987" s="4" t="s">
        <v>951</v>
      </c>
      <c r="B987" s="4" t="s">
        <v>1172</v>
      </c>
      <c r="C987" s="4" t="s">
        <v>17</v>
      </c>
      <c r="D987" s="1">
        <v>43966</v>
      </c>
      <c r="E987" s="4">
        <v>606725823</v>
      </c>
      <c r="F987" s="1">
        <v>43982</v>
      </c>
      <c r="G987" s="3">
        <v>2509</v>
      </c>
      <c r="H987" s="2">
        <v>437.2</v>
      </c>
      <c r="I987" s="2">
        <v>263.33</v>
      </c>
      <c r="J987" s="2">
        <v>1096934.8</v>
      </c>
      <c r="K987" s="2">
        <v>660694.97</v>
      </c>
    </row>
    <row r="988" spans="1:11" x14ac:dyDescent="0.3">
      <c r="A988" s="4" t="s">
        <v>952</v>
      </c>
      <c r="B988" s="4" t="s">
        <v>1180</v>
      </c>
      <c r="C988" s="4" t="s">
        <v>12</v>
      </c>
      <c r="D988" s="1">
        <v>44087</v>
      </c>
      <c r="E988" s="4">
        <v>147449672</v>
      </c>
      <c r="F988" s="1">
        <v>44130</v>
      </c>
      <c r="G988" s="3">
        <v>2489</v>
      </c>
      <c r="H988" s="2">
        <v>109.28</v>
      </c>
      <c r="I988" s="2">
        <v>35.840000000000003</v>
      </c>
      <c r="J988" s="2">
        <v>271997.92</v>
      </c>
      <c r="K988" s="2">
        <v>89205.760000000009</v>
      </c>
    </row>
    <row r="989" spans="1:11" x14ac:dyDescent="0.3">
      <c r="A989" s="4" t="s">
        <v>953</v>
      </c>
      <c r="B989" s="4" t="s">
        <v>1162</v>
      </c>
      <c r="C989" s="4" t="s">
        <v>19</v>
      </c>
      <c r="D989" s="1">
        <v>44399</v>
      </c>
      <c r="E989" s="4">
        <v>785446774</v>
      </c>
      <c r="F989" s="1">
        <v>44419</v>
      </c>
      <c r="G989" s="3">
        <v>10</v>
      </c>
      <c r="H989" s="2">
        <v>421.89</v>
      </c>
      <c r="I989" s="2">
        <v>364.69</v>
      </c>
      <c r="J989" s="2">
        <v>4218.8999999999996</v>
      </c>
      <c r="K989" s="2">
        <v>3646.9</v>
      </c>
    </row>
    <row r="990" spans="1:11" x14ac:dyDescent="0.3">
      <c r="A990" s="4" t="s">
        <v>954</v>
      </c>
      <c r="B990" s="4" t="s">
        <v>1178</v>
      </c>
      <c r="C990" s="4" t="s">
        <v>17</v>
      </c>
      <c r="D990" s="1">
        <v>44369</v>
      </c>
      <c r="E990" s="4">
        <v>745765960</v>
      </c>
      <c r="F990" s="1">
        <v>44391</v>
      </c>
      <c r="G990" s="3">
        <v>7575</v>
      </c>
      <c r="H990" s="2">
        <v>154.06</v>
      </c>
      <c r="I990" s="2">
        <v>90.93</v>
      </c>
      <c r="J990" s="2">
        <v>1167004.5</v>
      </c>
      <c r="K990" s="2">
        <v>688794.75</v>
      </c>
    </row>
    <row r="991" spans="1:11" x14ac:dyDescent="0.3">
      <c r="A991" s="4" t="s">
        <v>955</v>
      </c>
      <c r="B991" s="4" t="s">
        <v>1172</v>
      </c>
      <c r="C991" s="4" t="s">
        <v>12</v>
      </c>
      <c r="D991" s="1">
        <v>44656</v>
      </c>
      <c r="E991" s="4">
        <v>573768556</v>
      </c>
      <c r="F991" s="1">
        <v>44686</v>
      </c>
      <c r="G991" s="3">
        <v>9721</v>
      </c>
      <c r="H991" s="2">
        <v>437.2</v>
      </c>
      <c r="I991" s="2">
        <v>263.33</v>
      </c>
      <c r="J991" s="2">
        <v>4250021.2</v>
      </c>
      <c r="K991" s="2">
        <v>2559830.9299999997</v>
      </c>
    </row>
    <row r="992" spans="1:11" x14ac:dyDescent="0.3">
      <c r="A992" s="4" t="s">
        <v>956</v>
      </c>
      <c r="B992" s="4" t="s">
        <v>1160</v>
      </c>
      <c r="C992" s="4" t="s">
        <v>17</v>
      </c>
      <c r="D992" s="1">
        <v>44502</v>
      </c>
      <c r="E992" s="4">
        <v>885128390</v>
      </c>
      <c r="F992" s="1">
        <v>44520</v>
      </c>
      <c r="G992" s="3">
        <v>8015</v>
      </c>
      <c r="H992" s="2">
        <v>152.58000000000001</v>
      </c>
      <c r="I992" s="2">
        <v>97.44</v>
      </c>
      <c r="J992" s="2">
        <v>1222928.7000000002</v>
      </c>
      <c r="K992" s="2">
        <v>780981.6</v>
      </c>
    </row>
    <row r="993" spans="1:11" x14ac:dyDescent="0.3">
      <c r="A993" s="4" t="s">
        <v>957</v>
      </c>
      <c r="B993" s="4" t="s">
        <v>1170</v>
      </c>
      <c r="C993" s="4" t="s">
        <v>17</v>
      </c>
      <c r="D993" s="1">
        <v>44335</v>
      </c>
      <c r="E993" s="4">
        <v>115831792</v>
      </c>
      <c r="F993" s="1">
        <v>44356</v>
      </c>
      <c r="G993" s="3">
        <v>6056</v>
      </c>
      <c r="H993" s="2">
        <v>47.45</v>
      </c>
      <c r="I993" s="2">
        <v>31.79</v>
      </c>
      <c r="J993" s="2">
        <v>287357.2</v>
      </c>
      <c r="K993" s="2">
        <v>192520.24</v>
      </c>
    </row>
    <row r="994" spans="1:11" x14ac:dyDescent="0.3">
      <c r="A994" s="4" t="s">
        <v>958</v>
      </c>
      <c r="B994" s="4" t="s">
        <v>1166</v>
      </c>
      <c r="C994" s="4" t="s">
        <v>19</v>
      </c>
      <c r="D994" s="1">
        <v>44212</v>
      </c>
      <c r="E994" s="4">
        <v>372177588</v>
      </c>
      <c r="F994" s="1">
        <v>44226</v>
      </c>
      <c r="G994" s="3">
        <v>4474</v>
      </c>
      <c r="H994" s="2">
        <v>9.33</v>
      </c>
      <c r="I994" s="2">
        <v>6.92</v>
      </c>
      <c r="J994" s="2">
        <v>41742.42</v>
      </c>
      <c r="K994" s="2">
        <v>30960.079999999998</v>
      </c>
    </row>
    <row r="995" spans="1:11" x14ac:dyDescent="0.3">
      <c r="A995" s="4" t="s">
        <v>959</v>
      </c>
      <c r="B995" s="4" t="s">
        <v>1172</v>
      </c>
      <c r="C995" s="4" t="s">
        <v>17</v>
      </c>
      <c r="D995" s="1">
        <v>44336</v>
      </c>
      <c r="E995" s="4">
        <v>680777108</v>
      </c>
      <c r="F995" s="1">
        <v>44369</v>
      </c>
      <c r="G995" s="3">
        <v>5930</v>
      </c>
      <c r="H995" s="2">
        <v>437.2</v>
      </c>
      <c r="I995" s="2">
        <v>263.33</v>
      </c>
      <c r="J995" s="2">
        <v>2592596</v>
      </c>
      <c r="K995" s="2">
        <v>1561546.9</v>
      </c>
    </row>
    <row r="996" spans="1:11" x14ac:dyDescent="0.3">
      <c r="A996" s="4" t="s">
        <v>960</v>
      </c>
      <c r="B996" s="4" t="s">
        <v>1166</v>
      </c>
      <c r="C996" s="4" t="s">
        <v>14</v>
      </c>
      <c r="D996" s="1">
        <v>44533</v>
      </c>
      <c r="E996" s="4">
        <v>138554179</v>
      </c>
      <c r="F996" s="1">
        <v>44536</v>
      </c>
      <c r="G996" s="3">
        <v>115</v>
      </c>
      <c r="H996" s="2">
        <v>9.33</v>
      </c>
      <c r="I996" s="2">
        <v>6.92</v>
      </c>
      <c r="J996" s="2">
        <v>1072.95</v>
      </c>
      <c r="K996" s="2">
        <v>795.8</v>
      </c>
    </row>
    <row r="997" spans="1:11" x14ac:dyDescent="0.3">
      <c r="A997" s="4" t="s">
        <v>961</v>
      </c>
      <c r="B997" s="4" t="s">
        <v>1170</v>
      </c>
      <c r="C997" s="4" t="s">
        <v>14</v>
      </c>
      <c r="D997" s="1">
        <v>44777</v>
      </c>
      <c r="E997" s="4">
        <v>162745130</v>
      </c>
      <c r="F997" s="1">
        <v>44792</v>
      </c>
      <c r="G997" s="3">
        <v>8755</v>
      </c>
      <c r="H997" s="2">
        <v>47.45</v>
      </c>
      <c r="I997" s="2">
        <v>31.79</v>
      </c>
      <c r="J997" s="2">
        <v>415424.75</v>
      </c>
      <c r="K997" s="2">
        <v>278321.45</v>
      </c>
    </row>
    <row r="998" spans="1:11" x14ac:dyDescent="0.3">
      <c r="A998" s="4" t="s">
        <v>962</v>
      </c>
      <c r="B998" s="4" t="s">
        <v>1174</v>
      </c>
      <c r="C998" s="4" t="s">
        <v>12</v>
      </c>
      <c r="D998" s="1">
        <v>44668</v>
      </c>
      <c r="E998" s="4">
        <v>440898787</v>
      </c>
      <c r="F998" s="1">
        <v>44713</v>
      </c>
      <c r="G998" s="3">
        <v>604</v>
      </c>
      <c r="H998" s="2">
        <v>81.73</v>
      </c>
      <c r="I998" s="2">
        <v>56.67</v>
      </c>
      <c r="J998" s="2">
        <v>49364.920000000006</v>
      </c>
      <c r="K998" s="2">
        <v>34228.68</v>
      </c>
    </row>
    <row r="999" spans="1:11" x14ac:dyDescent="0.3">
      <c r="A999" s="4" t="s">
        <v>963</v>
      </c>
      <c r="B999" s="4" t="s">
        <v>1166</v>
      </c>
      <c r="C999" s="4" t="s">
        <v>19</v>
      </c>
      <c r="D999" s="1">
        <v>43950</v>
      </c>
      <c r="E999" s="4">
        <v>280876481</v>
      </c>
      <c r="F999" s="1">
        <v>43982</v>
      </c>
      <c r="G999" s="3">
        <v>6447</v>
      </c>
      <c r="H999" s="2">
        <v>9.33</v>
      </c>
      <c r="I999" s="2">
        <v>6.92</v>
      </c>
      <c r="J999" s="2">
        <v>60150.51</v>
      </c>
      <c r="K999" s="2">
        <v>44613.24</v>
      </c>
    </row>
    <row r="1000" spans="1:11" x14ac:dyDescent="0.3">
      <c r="A1000" s="4" t="s">
        <v>964</v>
      </c>
      <c r="B1000" s="4" t="s">
        <v>1178</v>
      </c>
      <c r="C1000" s="4" t="s">
        <v>17</v>
      </c>
      <c r="D1000" s="1">
        <v>44083</v>
      </c>
      <c r="E1000" s="4">
        <v>860852038</v>
      </c>
      <c r="F1000" s="1">
        <v>44089</v>
      </c>
      <c r="G1000" s="3">
        <v>4103</v>
      </c>
      <c r="H1000" s="2">
        <v>154.06</v>
      </c>
      <c r="I1000" s="2">
        <v>90.93</v>
      </c>
      <c r="J1000" s="2">
        <v>632108.18000000005</v>
      </c>
      <c r="K1000" s="2">
        <v>373085.79000000004</v>
      </c>
    </row>
    <row r="1001" spans="1:11" x14ac:dyDescent="0.3">
      <c r="A1001" s="4" t="s">
        <v>965</v>
      </c>
      <c r="B1001" s="4" t="s">
        <v>1180</v>
      </c>
      <c r="C1001" s="4" t="s">
        <v>12</v>
      </c>
      <c r="D1001" s="1">
        <v>44583</v>
      </c>
      <c r="E1001" s="4">
        <v>279311788</v>
      </c>
      <c r="F1001" s="1">
        <v>44593</v>
      </c>
      <c r="G1001" s="3">
        <v>3420</v>
      </c>
      <c r="H1001" s="2">
        <v>109.28</v>
      </c>
      <c r="I1001" s="2">
        <v>35.840000000000003</v>
      </c>
      <c r="J1001" s="2">
        <v>373737.6</v>
      </c>
      <c r="K1001" s="2">
        <v>122572.80000000002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9E25-CAA0-4476-9BA7-B5F5A7F52E88}">
  <dimension ref="A1:C952"/>
  <sheetViews>
    <sheetView workbookViewId="0">
      <selection activeCell="A32" sqref="A32"/>
    </sheetView>
  </sheetViews>
  <sheetFormatPr baseColWidth="10" defaultRowHeight="14.4" x14ac:dyDescent="0.3"/>
  <cols>
    <col min="1" max="1" width="11.33203125" bestFit="1" customWidth="1"/>
    <col min="2" max="2" width="20" bestFit="1" customWidth="1"/>
    <col min="3" max="3" width="28.33203125" bestFit="1" customWidth="1"/>
  </cols>
  <sheetData>
    <row r="1" spans="1:3" x14ac:dyDescent="0.3">
      <c r="A1" t="s">
        <v>0</v>
      </c>
      <c r="B1" t="s">
        <v>966</v>
      </c>
      <c r="C1" t="s">
        <v>967</v>
      </c>
    </row>
    <row r="2" spans="1:3" x14ac:dyDescent="0.3">
      <c r="A2" t="s">
        <v>270</v>
      </c>
      <c r="B2" t="s">
        <v>991</v>
      </c>
      <c r="C2" t="s">
        <v>1117</v>
      </c>
    </row>
    <row r="3" spans="1:3" x14ac:dyDescent="0.3">
      <c r="A3" t="s">
        <v>284</v>
      </c>
      <c r="B3" t="s">
        <v>968</v>
      </c>
      <c r="C3" t="s">
        <v>1119</v>
      </c>
    </row>
    <row r="4" spans="1:3" x14ac:dyDescent="0.3">
      <c r="A4" t="s">
        <v>394</v>
      </c>
      <c r="B4" t="s">
        <v>975</v>
      </c>
      <c r="C4" t="s">
        <v>1065</v>
      </c>
    </row>
    <row r="5" spans="1:3" x14ac:dyDescent="0.3">
      <c r="A5" t="s">
        <v>678</v>
      </c>
      <c r="B5" t="s">
        <v>973</v>
      </c>
      <c r="C5" t="s">
        <v>1085</v>
      </c>
    </row>
    <row r="6" spans="1:3" x14ac:dyDescent="0.3">
      <c r="A6" t="s">
        <v>168</v>
      </c>
      <c r="B6" t="s">
        <v>973</v>
      </c>
      <c r="C6" t="s">
        <v>1047</v>
      </c>
    </row>
    <row r="7" spans="1:3" x14ac:dyDescent="0.3">
      <c r="A7" t="s">
        <v>590</v>
      </c>
      <c r="B7" t="s">
        <v>991</v>
      </c>
      <c r="C7" t="s">
        <v>1074</v>
      </c>
    </row>
    <row r="8" spans="1:3" x14ac:dyDescent="0.3">
      <c r="A8" t="s">
        <v>225</v>
      </c>
      <c r="B8" t="s">
        <v>991</v>
      </c>
      <c r="C8" t="s">
        <v>1098</v>
      </c>
    </row>
    <row r="9" spans="1:3" x14ac:dyDescent="0.3">
      <c r="A9" t="s">
        <v>714</v>
      </c>
      <c r="B9" t="s">
        <v>968</v>
      </c>
      <c r="C9" t="s">
        <v>1038</v>
      </c>
    </row>
    <row r="10" spans="1:3" x14ac:dyDescent="0.3">
      <c r="A10" t="s">
        <v>275</v>
      </c>
      <c r="B10" t="s">
        <v>971</v>
      </c>
      <c r="C10" t="s">
        <v>1037</v>
      </c>
    </row>
    <row r="11" spans="1:3" x14ac:dyDescent="0.3">
      <c r="A11" t="s">
        <v>758</v>
      </c>
      <c r="B11" t="s">
        <v>973</v>
      </c>
      <c r="C11" t="s">
        <v>1058</v>
      </c>
    </row>
    <row r="12" spans="1:3" x14ac:dyDescent="0.3">
      <c r="A12" t="s">
        <v>625</v>
      </c>
      <c r="B12" t="s">
        <v>968</v>
      </c>
      <c r="C12" t="s">
        <v>1000</v>
      </c>
    </row>
    <row r="13" spans="1:3" x14ac:dyDescent="0.3">
      <c r="A13" t="s">
        <v>673</v>
      </c>
      <c r="B13" t="s">
        <v>968</v>
      </c>
      <c r="C13" t="s">
        <v>1127</v>
      </c>
    </row>
    <row r="14" spans="1:3" x14ac:dyDescent="0.3">
      <c r="A14" t="s">
        <v>820</v>
      </c>
      <c r="B14" t="s">
        <v>968</v>
      </c>
      <c r="C14" t="s">
        <v>1156</v>
      </c>
    </row>
    <row r="15" spans="1:3" x14ac:dyDescent="0.3">
      <c r="A15" t="s">
        <v>61</v>
      </c>
      <c r="B15" t="s">
        <v>975</v>
      </c>
      <c r="C15" t="s">
        <v>1014</v>
      </c>
    </row>
    <row r="16" spans="1:3" x14ac:dyDescent="0.3">
      <c r="A16" t="s">
        <v>957</v>
      </c>
      <c r="B16" t="s">
        <v>968</v>
      </c>
      <c r="C16" t="s">
        <v>1000</v>
      </c>
    </row>
    <row r="17" spans="1:3" x14ac:dyDescent="0.3">
      <c r="A17" t="s">
        <v>298</v>
      </c>
      <c r="B17" t="s">
        <v>968</v>
      </c>
      <c r="C17" t="s">
        <v>1093</v>
      </c>
    </row>
    <row r="18" spans="1:3" x14ac:dyDescent="0.3">
      <c r="A18" t="s">
        <v>736</v>
      </c>
      <c r="B18" t="s">
        <v>973</v>
      </c>
      <c r="C18" t="s">
        <v>1110</v>
      </c>
    </row>
    <row r="19" spans="1:3" x14ac:dyDescent="0.3">
      <c r="A19" t="s">
        <v>402</v>
      </c>
      <c r="B19" t="s">
        <v>973</v>
      </c>
      <c r="C19" t="s">
        <v>1063</v>
      </c>
    </row>
    <row r="20" spans="1:3" x14ac:dyDescent="0.3">
      <c r="A20" t="s">
        <v>473</v>
      </c>
      <c r="B20" t="s">
        <v>973</v>
      </c>
      <c r="C20" t="s">
        <v>1063</v>
      </c>
    </row>
    <row r="21" spans="1:3" x14ac:dyDescent="0.3">
      <c r="A21" t="s">
        <v>518</v>
      </c>
      <c r="B21" t="s">
        <v>973</v>
      </c>
      <c r="C21" t="s">
        <v>1004</v>
      </c>
    </row>
    <row r="22" spans="1:3" x14ac:dyDescent="0.3">
      <c r="A22" t="s">
        <v>918</v>
      </c>
      <c r="B22" t="s">
        <v>975</v>
      </c>
      <c r="C22" t="s">
        <v>1092</v>
      </c>
    </row>
    <row r="23" spans="1:3" x14ac:dyDescent="0.3">
      <c r="A23" t="s">
        <v>231</v>
      </c>
      <c r="B23" t="s">
        <v>973</v>
      </c>
      <c r="C23" t="s">
        <v>1063</v>
      </c>
    </row>
    <row r="24" spans="1:3" x14ac:dyDescent="0.3">
      <c r="A24" t="s">
        <v>203</v>
      </c>
      <c r="B24" t="s">
        <v>968</v>
      </c>
      <c r="C24" t="s">
        <v>1054</v>
      </c>
    </row>
    <row r="25" spans="1:3" x14ac:dyDescent="0.3">
      <c r="A25" t="s">
        <v>717</v>
      </c>
      <c r="B25" t="s">
        <v>991</v>
      </c>
      <c r="C25" t="s">
        <v>1068</v>
      </c>
    </row>
    <row r="26" spans="1:3" x14ac:dyDescent="0.3">
      <c r="A26" t="s">
        <v>29</v>
      </c>
      <c r="B26" t="s">
        <v>973</v>
      </c>
      <c r="C26" t="s">
        <v>986</v>
      </c>
    </row>
    <row r="27" spans="1:3" x14ac:dyDescent="0.3">
      <c r="A27" t="s">
        <v>600</v>
      </c>
      <c r="B27" t="s">
        <v>968</v>
      </c>
      <c r="C27" t="s">
        <v>1046</v>
      </c>
    </row>
    <row r="28" spans="1:3" x14ac:dyDescent="0.3">
      <c r="A28" t="s">
        <v>524</v>
      </c>
      <c r="B28" t="s">
        <v>968</v>
      </c>
      <c r="C28" t="s">
        <v>1119</v>
      </c>
    </row>
    <row r="29" spans="1:3" x14ac:dyDescent="0.3">
      <c r="A29" t="s">
        <v>150</v>
      </c>
      <c r="B29" t="s">
        <v>973</v>
      </c>
      <c r="C29" t="s">
        <v>983</v>
      </c>
    </row>
    <row r="30" spans="1:3" x14ac:dyDescent="0.3">
      <c r="A30" t="s">
        <v>786</v>
      </c>
      <c r="B30" t="s">
        <v>991</v>
      </c>
      <c r="C30" t="s">
        <v>1027</v>
      </c>
    </row>
    <row r="31" spans="1:3" x14ac:dyDescent="0.3">
      <c r="A31" t="s">
        <v>248</v>
      </c>
      <c r="B31" t="s">
        <v>973</v>
      </c>
      <c r="C31" t="s">
        <v>999</v>
      </c>
    </row>
    <row r="32" spans="1:3" x14ac:dyDescent="0.3">
      <c r="A32" t="s">
        <v>874</v>
      </c>
      <c r="B32" t="s">
        <v>973</v>
      </c>
      <c r="C32" t="s">
        <v>1081</v>
      </c>
    </row>
    <row r="33" spans="1:3" x14ac:dyDescent="0.3">
      <c r="A33" t="s">
        <v>530</v>
      </c>
      <c r="B33" t="s">
        <v>991</v>
      </c>
      <c r="C33" t="s">
        <v>1035</v>
      </c>
    </row>
    <row r="34" spans="1:3" x14ac:dyDescent="0.3">
      <c r="A34" t="s">
        <v>688</v>
      </c>
      <c r="B34" t="s">
        <v>975</v>
      </c>
      <c r="C34" t="s">
        <v>1148</v>
      </c>
    </row>
    <row r="35" spans="1:3" x14ac:dyDescent="0.3">
      <c r="A35" t="s">
        <v>56</v>
      </c>
      <c r="B35" t="s">
        <v>991</v>
      </c>
      <c r="C35" t="s">
        <v>1010</v>
      </c>
    </row>
    <row r="36" spans="1:3" x14ac:dyDescent="0.3">
      <c r="A36" t="s">
        <v>620</v>
      </c>
      <c r="B36" t="s">
        <v>968</v>
      </c>
      <c r="C36" t="s">
        <v>1123</v>
      </c>
    </row>
    <row r="37" spans="1:3" x14ac:dyDescent="0.3">
      <c r="A37" t="s">
        <v>749</v>
      </c>
      <c r="B37" t="s">
        <v>971</v>
      </c>
      <c r="C37" t="s">
        <v>1089</v>
      </c>
    </row>
    <row r="38" spans="1:3" x14ac:dyDescent="0.3">
      <c r="A38" t="s">
        <v>578</v>
      </c>
      <c r="B38" t="s">
        <v>973</v>
      </c>
      <c r="C38" t="s">
        <v>1149</v>
      </c>
    </row>
    <row r="39" spans="1:3" x14ac:dyDescent="0.3">
      <c r="A39" t="s">
        <v>241</v>
      </c>
      <c r="B39" t="s">
        <v>973</v>
      </c>
      <c r="C39" t="s">
        <v>1025</v>
      </c>
    </row>
    <row r="40" spans="1:3" x14ac:dyDescent="0.3">
      <c r="A40" t="s">
        <v>836</v>
      </c>
      <c r="B40" t="s">
        <v>991</v>
      </c>
      <c r="C40" t="s">
        <v>1068</v>
      </c>
    </row>
    <row r="41" spans="1:3" x14ac:dyDescent="0.3">
      <c r="A41" t="s">
        <v>199</v>
      </c>
      <c r="B41" t="s">
        <v>968</v>
      </c>
      <c r="C41" t="s">
        <v>1093</v>
      </c>
    </row>
    <row r="42" spans="1:3" x14ac:dyDescent="0.3">
      <c r="A42" t="s">
        <v>693</v>
      </c>
      <c r="B42" t="s">
        <v>975</v>
      </c>
      <c r="C42" t="s">
        <v>1029</v>
      </c>
    </row>
    <row r="43" spans="1:3" x14ac:dyDescent="0.3">
      <c r="A43" t="s">
        <v>179</v>
      </c>
      <c r="B43" t="s">
        <v>973</v>
      </c>
      <c r="C43" t="s">
        <v>1084</v>
      </c>
    </row>
    <row r="44" spans="1:3" x14ac:dyDescent="0.3">
      <c r="A44" t="s">
        <v>393</v>
      </c>
      <c r="B44" t="s">
        <v>968</v>
      </c>
      <c r="C44" t="s">
        <v>1038</v>
      </c>
    </row>
    <row r="45" spans="1:3" x14ac:dyDescent="0.3">
      <c r="A45" t="s">
        <v>960</v>
      </c>
      <c r="B45" t="s">
        <v>975</v>
      </c>
      <c r="C45" t="s">
        <v>1129</v>
      </c>
    </row>
    <row r="46" spans="1:3" x14ac:dyDescent="0.3">
      <c r="A46" t="s">
        <v>37</v>
      </c>
      <c r="B46" t="s">
        <v>991</v>
      </c>
      <c r="C46" t="s">
        <v>995</v>
      </c>
    </row>
    <row r="47" spans="1:3" x14ac:dyDescent="0.3">
      <c r="A47" t="s">
        <v>330</v>
      </c>
      <c r="B47" t="s">
        <v>973</v>
      </c>
      <c r="C47" t="s">
        <v>1124</v>
      </c>
    </row>
    <row r="48" spans="1:3" x14ac:dyDescent="0.3">
      <c r="A48" t="s">
        <v>325</v>
      </c>
      <c r="B48" t="s">
        <v>991</v>
      </c>
      <c r="C48" t="s">
        <v>1002</v>
      </c>
    </row>
    <row r="49" spans="1:3" x14ac:dyDescent="0.3">
      <c r="A49" t="s">
        <v>39</v>
      </c>
      <c r="B49" t="s">
        <v>973</v>
      </c>
      <c r="C49" t="s">
        <v>997</v>
      </c>
    </row>
    <row r="50" spans="1:3" x14ac:dyDescent="0.3">
      <c r="A50" t="s">
        <v>92</v>
      </c>
      <c r="B50" t="s">
        <v>971</v>
      </c>
      <c r="C50" t="s">
        <v>1037</v>
      </c>
    </row>
    <row r="51" spans="1:3" x14ac:dyDescent="0.3">
      <c r="A51" t="s">
        <v>687</v>
      </c>
      <c r="B51" t="s">
        <v>968</v>
      </c>
      <c r="C51" t="s">
        <v>1123</v>
      </c>
    </row>
    <row r="52" spans="1:3" x14ac:dyDescent="0.3">
      <c r="A52" t="s">
        <v>290</v>
      </c>
      <c r="B52" t="s">
        <v>973</v>
      </c>
      <c r="C52" t="s">
        <v>1071</v>
      </c>
    </row>
    <row r="53" spans="1:3" x14ac:dyDescent="0.3">
      <c r="A53" t="s">
        <v>581</v>
      </c>
      <c r="B53" t="s">
        <v>973</v>
      </c>
      <c r="C53" t="s">
        <v>1076</v>
      </c>
    </row>
    <row r="54" spans="1:3" x14ac:dyDescent="0.3">
      <c r="A54" t="s">
        <v>803</v>
      </c>
      <c r="B54" t="s">
        <v>968</v>
      </c>
      <c r="C54" t="s">
        <v>1026</v>
      </c>
    </row>
    <row r="55" spans="1:3" x14ac:dyDescent="0.3">
      <c r="A55" t="s">
        <v>952</v>
      </c>
      <c r="B55" t="s">
        <v>968</v>
      </c>
      <c r="C55" t="s">
        <v>1023</v>
      </c>
    </row>
    <row r="56" spans="1:3" x14ac:dyDescent="0.3">
      <c r="A56" t="s">
        <v>914</v>
      </c>
      <c r="B56" t="s">
        <v>975</v>
      </c>
      <c r="C56" t="s">
        <v>1019</v>
      </c>
    </row>
    <row r="57" spans="1:3" x14ac:dyDescent="0.3">
      <c r="A57" t="s">
        <v>773</v>
      </c>
      <c r="B57" t="s">
        <v>973</v>
      </c>
      <c r="C57" t="s">
        <v>1041</v>
      </c>
    </row>
    <row r="58" spans="1:3" x14ac:dyDescent="0.3">
      <c r="A58" t="s">
        <v>537</v>
      </c>
      <c r="B58" t="s">
        <v>975</v>
      </c>
      <c r="C58" t="s">
        <v>1148</v>
      </c>
    </row>
    <row r="59" spans="1:3" x14ac:dyDescent="0.3">
      <c r="A59" t="s">
        <v>289</v>
      </c>
      <c r="B59" t="s">
        <v>991</v>
      </c>
      <c r="C59" t="s">
        <v>992</v>
      </c>
    </row>
    <row r="60" spans="1:3" x14ac:dyDescent="0.3">
      <c r="A60" t="s">
        <v>100</v>
      </c>
      <c r="B60" t="s">
        <v>968</v>
      </c>
      <c r="C60" t="s">
        <v>1022</v>
      </c>
    </row>
    <row r="61" spans="1:3" x14ac:dyDescent="0.3">
      <c r="A61" t="s">
        <v>763</v>
      </c>
      <c r="B61" t="s">
        <v>973</v>
      </c>
      <c r="C61" t="s">
        <v>1121</v>
      </c>
    </row>
    <row r="62" spans="1:3" x14ac:dyDescent="0.3">
      <c r="A62" t="s">
        <v>850</v>
      </c>
      <c r="B62" t="s">
        <v>973</v>
      </c>
      <c r="C62" t="s">
        <v>999</v>
      </c>
    </row>
    <row r="63" spans="1:3" x14ac:dyDescent="0.3">
      <c r="A63" t="s">
        <v>920</v>
      </c>
      <c r="B63" t="s">
        <v>971</v>
      </c>
      <c r="C63" t="s">
        <v>980</v>
      </c>
    </row>
    <row r="64" spans="1:3" x14ac:dyDescent="0.3">
      <c r="A64" t="s">
        <v>586</v>
      </c>
      <c r="B64" t="s">
        <v>973</v>
      </c>
      <c r="C64" t="s">
        <v>1009</v>
      </c>
    </row>
    <row r="65" spans="1:3" x14ac:dyDescent="0.3">
      <c r="A65" t="s">
        <v>779</v>
      </c>
      <c r="B65" t="s">
        <v>971</v>
      </c>
      <c r="C65" t="s">
        <v>1001</v>
      </c>
    </row>
    <row r="66" spans="1:3" x14ac:dyDescent="0.3">
      <c r="A66" t="s">
        <v>200</v>
      </c>
      <c r="B66" t="s">
        <v>968</v>
      </c>
      <c r="C66" t="s">
        <v>1091</v>
      </c>
    </row>
    <row r="67" spans="1:3" x14ac:dyDescent="0.3">
      <c r="A67" t="s">
        <v>805</v>
      </c>
      <c r="B67" t="s">
        <v>968</v>
      </c>
      <c r="C67" t="s">
        <v>1140</v>
      </c>
    </row>
    <row r="68" spans="1:3" x14ac:dyDescent="0.3">
      <c r="A68" t="s">
        <v>680</v>
      </c>
      <c r="B68" t="s">
        <v>973</v>
      </c>
      <c r="C68" t="s">
        <v>1028</v>
      </c>
    </row>
    <row r="69" spans="1:3" x14ac:dyDescent="0.3">
      <c r="A69" t="s">
        <v>829</v>
      </c>
      <c r="B69" t="s">
        <v>971</v>
      </c>
      <c r="C69" t="s">
        <v>1100</v>
      </c>
    </row>
    <row r="70" spans="1:3" x14ac:dyDescent="0.3">
      <c r="A70" t="s">
        <v>804</v>
      </c>
      <c r="B70" t="s">
        <v>975</v>
      </c>
      <c r="C70" t="s">
        <v>1092</v>
      </c>
    </row>
    <row r="71" spans="1:3" x14ac:dyDescent="0.3">
      <c r="A71" t="s">
        <v>377</v>
      </c>
      <c r="B71" t="s">
        <v>991</v>
      </c>
      <c r="C71" t="s">
        <v>1068</v>
      </c>
    </row>
    <row r="72" spans="1:3" x14ac:dyDescent="0.3">
      <c r="A72" t="s">
        <v>839</v>
      </c>
      <c r="B72" t="s">
        <v>991</v>
      </c>
      <c r="C72" t="s">
        <v>1034</v>
      </c>
    </row>
    <row r="73" spans="1:3" x14ac:dyDescent="0.3">
      <c r="A73" t="s">
        <v>513</v>
      </c>
      <c r="B73" t="s">
        <v>971</v>
      </c>
      <c r="C73" t="s">
        <v>1095</v>
      </c>
    </row>
    <row r="74" spans="1:3" x14ac:dyDescent="0.3">
      <c r="A74" t="s">
        <v>666</v>
      </c>
      <c r="B74" t="s">
        <v>973</v>
      </c>
      <c r="C74" t="s">
        <v>1088</v>
      </c>
    </row>
    <row r="75" spans="1:3" x14ac:dyDescent="0.3">
      <c r="A75" t="s">
        <v>359</v>
      </c>
      <c r="B75" t="s">
        <v>971</v>
      </c>
      <c r="C75" t="s">
        <v>1045</v>
      </c>
    </row>
    <row r="76" spans="1:3" x14ac:dyDescent="0.3">
      <c r="A76" t="s">
        <v>961</v>
      </c>
      <c r="B76" t="s">
        <v>973</v>
      </c>
      <c r="C76" t="s">
        <v>1066</v>
      </c>
    </row>
    <row r="77" spans="1:3" x14ac:dyDescent="0.3">
      <c r="A77" t="s">
        <v>249</v>
      </c>
      <c r="B77" t="s">
        <v>971</v>
      </c>
      <c r="C77" t="s">
        <v>1016</v>
      </c>
    </row>
    <row r="78" spans="1:3" x14ac:dyDescent="0.3">
      <c r="A78" t="s">
        <v>939</v>
      </c>
      <c r="B78" t="s">
        <v>973</v>
      </c>
      <c r="C78" t="s">
        <v>1104</v>
      </c>
    </row>
    <row r="79" spans="1:3" x14ac:dyDescent="0.3">
      <c r="A79" t="s">
        <v>358</v>
      </c>
      <c r="B79" t="s">
        <v>973</v>
      </c>
      <c r="C79" t="s">
        <v>974</v>
      </c>
    </row>
    <row r="80" spans="1:3" x14ac:dyDescent="0.3">
      <c r="A80" t="s">
        <v>335</v>
      </c>
      <c r="B80" t="s">
        <v>991</v>
      </c>
      <c r="C80" t="s">
        <v>1008</v>
      </c>
    </row>
    <row r="81" spans="1:3" x14ac:dyDescent="0.3">
      <c r="A81" t="s">
        <v>754</v>
      </c>
      <c r="B81" t="s">
        <v>968</v>
      </c>
      <c r="C81" t="s">
        <v>969</v>
      </c>
    </row>
    <row r="82" spans="1:3" x14ac:dyDescent="0.3">
      <c r="A82" t="s">
        <v>828</v>
      </c>
      <c r="B82" t="s">
        <v>971</v>
      </c>
      <c r="C82" t="s">
        <v>1045</v>
      </c>
    </row>
    <row r="83" spans="1:3" x14ac:dyDescent="0.3">
      <c r="A83" t="s">
        <v>682</v>
      </c>
      <c r="B83" t="s">
        <v>971</v>
      </c>
      <c r="C83" t="s">
        <v>1012</v>
      </c>
    </row>
    <row r="84" spans="1:3" x14ac:dyDescent="0.3">
      <c r="A84" t="s">
        <v>166</v>
      </c>
      <c r="B84" t="s">
        <v>971</v>
      </c>
      <c r="C84" t="s">
        <v>988</v>
      </c>
    </row>
    <row r="85" spans="1:3" x14ac:dyDescent="0.3">
      <c r="A85" t="s">
        <v>230</v>
      </c>
      <c r="B85" t="s">
        <v>968</v>
      </c>
      <c r="C85" t="s">
        <v>1099</v>
      </c>
    </row>
    <row r="86" spans="1:3" x14ac:dyDescent="0.3">
      <c r="A86" t="s">
        <v>543</v>
      </c>
      <c r="B86" t="s">
        <v>991</v>
      </c>
      <c r="C86" t="s">
        <v>1059</v>
      </c>
    </row>
    <row r="87" spans="1:3" x14ac:dyDescent="0.3">
      <c r="A87" t="s">
        <v>242</v>
      </c>
      <c r="B87" t="s">
        <v>973</v>
      </c>
      <c r="C87" t="s">
        <v>1006</v>
      </c>
    </row>
    <row r="88" spans="1:3" x14ac:dyDescent="0.3">
      <c r="A88" t="s">
        <v>609</v>
      </c>
      <c r="B88" t="s">
        <v>991</v>
      </c>
      <c r="C88" t="s">
        <v>1017</v>
      </c>
    </row>
    <row r="89" spans="1:3" x14ac:dyDescent="0.3">
      <c r="A89" t="s">
        <v>769</v>
      </c>
      <c r="B89" t="s">
        <v>973</v>
      </c>
      <c r="C89" t="s">
        <v>1064</v>
      </c>
    </row>
    <row r="90" spans="1:3" x14ac:dyDescent="0.3">
      <c r="A90" t="s">
        <v>178</v>
      </c>
      <c r="B90" t="s">
        <v>991</v>
      </c>
      <c r="C90" t="s">
        <v>1033</v>
      </c>
    </row>
    <row r="91" spans="1:3" x14ac:dyDescent="0.3">
      <c r="A91" t="s">
        <v>611</v>
      </c>
      <c r="B91" t="s">
        <v>973</v>
      </c>
      <c r="C91" t="s">
        <v>1151</v>
      </c>
    </row>
    <row r="92" spans="1:3" x14ac:dyDescent="0.3">
      <c r="A92" t="s">
        <v>336</v>
      </c>
      <c r="B92" t="s">
        <v>991</v>
      </c>
      <c r="C92" t="s">
        <v>1010</v>
      </c>
    </row>
    <row r="93" spans="1:3" x14ac:dyDescent="0.3">
      <c r="A93" t="s">
        <v>71</v>
      </c>
      <c r="B93" t="s">
        <v>968</v>
      </c>
      <c r="C93" t="s">
        <v>1021</v>
      </c>
    </row>
    <row r="94" spans="1:3" x14ac:dyDescent="0.3">
      <c r="A94" t="s">
        <v>597</v>
      </c>
      <c r="B94" t="s">
        <v>975</v>
      </c>
      <c r="C94" t="s">
        <v>1148</v>
      </c>
    </row>
    <row r="95" spans="1:3" x14ac:dyDescent="0.3">
      <c r="A95" t="s">
        <v>126</v>
      </c>
      <c r="B95" t="s">
        <v>973</v>
      </c>
      <c r="C95" t="s">
        <v>997</v>
      </c>
    </row>
    <row r="96" spans="1:3" x14ac:dyDescent="0.3">
      <c r="A96" t="s">
        <v>127</v>
      </c>
      <c r="B96" t="s">
        <v>973</v>
      </c>
      <c r="C96" t="s">
        <v>1058</v>
      </c>
    </row>
    <row r="97" spans="1:3" x14ac:dyDescent="0.3">
      <c r="A97" t="s">
        <v>495</v>
      </c>
      <c r="B97" t="s">
        <v>968</v>
      </c>
      <c r="C97" t="s">
        <v>1036</v>
      </c>
    </row>
    <row r="98" spans="1:3" x14ac:dyDescent="0.3">
      <c r="A98" t="s">
        <v>653</v>
      </c>
      <c r="B98" t="s">
        <v>973</v>
      </c>
      <c r="C98" t="s">
        <v>1006</v>
      </c>
    </row>
    <row r="99" spans="1:3" x14ac:dyDescent="0.3">
      <c r="A99" t="s">
        <v>783</v>
      </c>
      <c r="B99" t="s">
        <v>968</v>
      </c>
      <c r="C99" t="s">
        <v>1052</v>
      </c>
    </row>
    <row r="100" spans="1:3" x14ac:dyDescent="0.3">
      <c r="A100" t="s">
        <v>491</v>
      </c>
      <c r="B100" t="s">
        <v>973</v>
      </c>
      <c r="C100" t="s">
        <v>985</v>
      </c>
    </row>
    <row r="101" spans="1:3" x14ac:dyDescent="0.3">
      <c r="A101" t="s">
        <v>234</v>
      </c>
      <c r="B101" t="s">
        <v>991</v>
      </c>
      <c r="C101" t="s">
        <v>1101</v>
      </c>
    </row>
    <row r="102" spans="1:3" x14ac:dyDescent="0.3">
      <c r="A102" t="s">
        <v>339</v>
      </c>
      <c r="B102" t="s">
        <v>975</v>
      </c>
      <c r="C102" t="s">
        <v>1065</v>
      </c>
    </row>
    <row r="103" spans="1:3" x14ac:dyDescent="0.3">
      <c r="A103" t="s">
        <v>789</v>
      </c>
      <c r="B103" t="s">
        <v>973</v>
      </c>
      <c r="C103" t="s">
        <v>1064</v>
      </c>
    </row>
    <row r="104" spans="1:3" x14ac:dyDescent="0.3">
      <c r="A104" t="s">
        <v>677</v>
      </c>
      <c r="B104" t="s">
        <v>975</v>
      </c>
      <c r="C104" t="s">
        <v>1065</v>
      </c>
    </row>
    <row r="105" spans="1:3" x14ac:dyDescent="0.3">
      <c r="A105" t="s">
        <v>332</v>
      </c>
      <c r="B105" t="s">
        <v>968</v>
      </c>
      <c r="C105" t="s">
        <v>1091</v>
      </c>
    </row>
    <row r="106" spans="1:3" x14ac:dyDescent="0.3">
      <c r="A106" t="s">
        <v>536</v>
      </c>
      <c r="B106" t="s">
        <v>991</v>
      </c>
      <c r="C106" t="s">
        <v>1116</v>
      </c>
    </row>
    <row r="107" spans="1:3" x14ac:dyDescent="0.3">
      <c r="A107" t="s">
        <v>748</v>
      </c>
      <c r="B107" t="s">
        <v>973</v>
      </c>
      <c r="C107" t="s">
        <v>1157</v>
      </c>
    </row>
    <row r="108" spans="1:3" x14ac:dyDescent="0.3">
      <c r="A108" t="s">
        <v>943</v>
      </c>
      <c r="B108" t="s">
        <v>991</v>
      </c>
      <c r="C108" t="s">
        <v>1146</v>
      </c>
    </row>
    <row r="109" spans="1:3" x14ac:dyDescent="0.3">
      <c r="A109" t="s">
        <v>274</v>
      </c>
      <c r="B109" t="s">
        <v>968</v>
      </c>
      <c r="C109" t="s">
        <v>1091</v>
      </c>
    </row>
    <row r="110" spans="1:3" x14ac:dyDescent="0.3">
      <c r="A110" t="s">
        <v>665</v>
      </c>
      <c r="B110" t="s">
        <v>991</v>
      </c>
      <c r="C110" t="s">
        <v>995</v>
      </c>
    </row>
    <row r="111" spans="1:3" x14ac:dyDescent="0.3">
      <c r="A111" t="s">
        <v>196</v>
      </c>
      <c r="B111" t="s">
        <v>981</v>
      </c>
      <c r="C111" t="s">
        <v>982</v>
      </c>
    </row>
    <row r="112" spans="1:3" x14ac:dyDescent="0.3">
      <c r="A112" t="s">
        <v>885</v>
      </c>
      <c r="B112" t="s">
        <v>968</v>
      </c>
      <c r="C112" t="s">
        <v>1026</v>
      </c>
    </row>
    <row r="113" spans="1:3" x14ac:dyDescent="0.3">
      <c r="A113" t="s">
        <v>314</v>
      </c>
      <c r="B113" t="s">
        <v>971</v>
      </c>
      <c r="C113" t="s">
        <v>1095</v>
      </c>
    </row>
    <row r="114" spans="1:3" x14ac:dyDescent="0.3">
      <c r="A114" t="s">
        <v>13</v>
      </c>
      <c r="B114" t="s">
        <v>968</v>
      </c>
      <c r="C114" t="s">
        <v>970</v>
      </c>
    </row>
    <row r="115" spans="1:3" x14ac:dyDescent="0.3">
      <c r="A115" t="s">
        <v>887</v>
      </c>
      <c r="B115" t="s">
        <v>968</v>
      </c>
      <c r="C115" t="s">
        <v>1038</v>
      </c>
    </row>
    <row r="116" spans="1:3" x14ac:dyDescent="0.3">
      <c r="A116" t="s">
        <v>109</v>
      </c>
      <c r="B116" t="s">
        <v>968</v>
      </c>
      <c r="C116" t="s">
        <v>1048</v>
      </c>
    </row>
    <row r="117" spans="1:3" x14ac:dyDescent="0.3">
      <c r="A117" t="s">
        <v>860</v>
      </c>
      <c r="B117" t="s">
        <v>973</v>
      </c>
      <c r="C117" t="s">
        <v>1151</v>
      </c>
    </row>
    <row r="118" spans="1:3" x14ac:dyDescent="0.3">
      <c r="A118" t="s">
        <v>47</v>
      </c>
      <c r="B118" t="s">
        <v>968</v>
      </c>
      <c r="C118" t="s">
        <v>1003</v>
      </c>
    </row>
    <row r="119" spans="1:3" x14ac:dyDescent="0.3">
      <c r="A119" t="s">
        <v>738</v>
      </c>
      <c r="B119" t="s">
        <v>971</v>
      </c>
      <c r="C119" t="s">
        <v>978</v>
      </c>
    </row>
    <row r="120" spans="1:3" x14ac:dyDescent="0.3">
      <c r="A120" t="s">
        <v>279</v>
      </c>
      <c r="B120" t="s">
        <v>968</v>
      </c>
      <c r="C120" t="s">
        <v>1099</v>
      </c>
    </row>
    <row r="121" spans="1:3" x14ac:dyDescent="0.3">
      <c r="A121" t="s">
        <v>475</v>
      </c>
      <c r="B121" t="s">
        <v>968</v>
      </c>
      <c r="C121" t="s">
        <v>1051</v>
      </c>
    </row>
    <row r="122" spans="1:3" x14ac:dyDescent="0.3">
      <c r="A122" t="s">
        <v>917</v>
      </c>
      <c r="B122" t="s">
        <v>968</v>
      </c>
      <c r="C122" t="s">
        <v>1145</v>
      </c>
    </row>
    <row r="123" spans="1:3" x14ac:dyDescent="0.3">
      <c r="A123" t="s">
        <v>814</v>
      </c>
      <c r="B123" t="s">
        <v>973</v>
      </c>
      <c r="C123" t="s">
        <v>1150</v>
      </c>
    </row>
    <row r="124" spans="1:3" x14ac:dyDescent="0.3">
      <c r="A124" t="s">
        <v>262</v>
      </c>
      <c r="B124" t="s">
        <v>973</v>
      </c>
      <c r="C124" t="s">
        <v>987</v>
      </c>
    </row>
    <row r="125" spans="1:3" x14ac:dyDescent="0.3">
      <c r="A125" t="s">
        <v>790</v>
      </c>
      <c r="B125" t="s">
        <v>968</v>
      </c>
      <c r="C125" t="s">
        <v>1119</v>
      </c>
    </row>
    <row r="126" spans="1:3" x14ac:dyDescent="0.3">
      <c r="A126" t="s">
        <v>435</v>
      </c>
      <c r="B126" t="s">
        <v>991</v>
      </c>
      <c r="C126" t="s">
        <v>1017</v>
      </c>
    </row>
    <row r="127" spans="1:3" x14ac:dyDescent="0.3">
      <c r="A127" t="s">
        <v>119</v>
      </c>
      <c r="B127" t="s">
        <v>973</v>
      </c>
      <c r="C127" t="s">
        <v>1053</v>
      </c>
    </row>
    <row r="128" spans="1:3" x14ac:dyDescent="0.3">
      <c r="A128" t="s">
        <v>160</v>
      </c>
      <c r="B128" t="s">
        <v>973</v>
      </c>
      <c r="C128" t="s">
        <v>1076</v>
      </c>
    </row>
    <row r="129" spans="1:3" x14ac:dyDescent="0.3">
      <c r="A129" t="s">
        <v>382</v>
      </c>
      <c r="B129" t="s">
        <v>991</v>
      </c>
      <c r="C129" t="s">
        <v>1059</v>
      </c>
    </row>
    <row r="130" spans="1:3" x14ac:dyDescent="0.3">
      <c r="A130" t="s">
        <v>357</v>
      </c>
      <c r="B130" t="s">
        <v>991</v>
      </c>
      <c r="C130" t="s">
        <v>1117</v>
      </c>
    </row>
    <row r="131" spans="1:3" x14ac:dyDescent="0.3">
      <c r="A131" t="s">
        <v>85</v>
      </c>
      <c r="B131" t="s">
        <v>968</v>
      </c>
      <c r="C131" t="s">
        <v>1000</v>
      </c>
    </row>
    <row r="132" spans="1:3" x14ac:dyDescent="0.3">
      <c r="A132" t="s">
        <v>816</v>
      </c>
      <c r="B132" t="s">
        <v>973</v>
      </c>
      <c r="C132" t="s">
        <v>974</v>
      </c>
    </row>
    <row r="133" spans="1:3" x14ac:dyDescent="0.3">
      <c r="A133" t="s">
        <v>834</v>
      </c>
      <c r="B133" t="s">
        <v>973</v>
      </c>
      <c r="C133" t="s">
        <v>984</v>
      </c>
    </row>
    <row r="134" spans="1:3" x14ac:dyDescent="0.3">
      <c r="A134" t="s">
        <v>488</v>
      </c>
      <c r="B134" t="s">
        <v>968</v>
      </c>
      <c r="C134" t="s">
        <v>1143</v>
      </c>
    </row>
    <row r="135" spans="1:3" x14ac:dyDescent="0.3">
      <c r="A135" t="s">
        <v>313</v>
      </c>
      <c r="B135" t="s">
        <v>968</v>
      </c>
      <c r="C135" t="s">
        <v>1043</v>
      </c>
    </row>
    <row r="136" spans="1:3" x14ac:dyDescent="0.3">
      <c r="A136" t="s">
        <v>557</v>
      </c>
      <c r="B136" t="s">
        <v>973</v>
      </c>
      <c r="C136" t="s">
        <v>986</v>
      </c>
    </row>
    <row r="137" spans="1:3" x14ac:dyDescent="0.3">
      <c r="A137" t="s">
        <v>303</v>
      </c>
      <c r="B137" t="s">
        <v>973</v>
      </c>
      <c r="C137" t="s">
        <v>1124</v>
      </c>
    </row>
    <row r="138" spans="1:3" x14ac:dyDescent="0.3">
      <c r="A138" t="s">
        <v>159</v>
      </c>
      <c r="B138" t="s">
        <v>973</v>
      </c>
      <c r="C138" t="s">
        <v>1075</v>
      </c>
    </row>
    <row r="139" spans="1:3" x14ac:dyDescent="0.3">
      <c r="A139" t="s">
        <v>272</v>
      </c>
      <c r="B139" t="s">
        <v>991</v>
      </c>
      <c r="C139" t="s">
        <v>1059</v>
      </c>
    </row>
    <row r="140" spans="1:3" x14ac:dyDescent="0.3">
      <c r="A140" t="s">
        <v>235</v>
      </c>
      <c r="B140" t="s">
        <v>973</v>
      </c>
      <c r="C140" t="s">
        <v>1102</v>
      </c>
    </row>
    <row r="141" spans="1:3" x14ac:dyDescent="0.3">
      <c r="A141" t="s">
        <v>418</v>
      </c>
      <c r="B141" t="s">
        <v>975</v>
      </c>
      <c r="C141" t="s">
        <v>1132</v>
      </c>
    </row>
    <row r="142" spans="1:3" x14ac:dyDescent="0.3">
      <c r="A142" t="s">
        <v>304</v>
      </c>
      <c r="B142" t="s">
        <v>975</v>
      </c>
      <c r="C142" t="s">
        <v>1029</v>
      </c>
    </row>
    <row r="143" spans="1:3" x14ac:dyDescent="0.3">
      <c r="A143" t="s">
        <v>679</v>
      </c>
      <c r="B143" t="s">
        <v>968</v>
      </c>
      <c r="C143" t="s">
        <v>1094</v>
      </c>
    </row>
    <row r="144" spans="1:3" x14ac:dyDescent="0.3">
      <c r="A144" t="s">
        <v>209</v>
      </c>
      <c r="B144" t="s">
        <v>973</v>
      </c>
      <c r="C144" t="s">
        <v>1061</v>
      </c>
    </row>
    <row r="145" spans="1:3" x14ac:dyDescent="0.3">
      <c r="A145" t="s">
        <v>240</v>
      </c>
      <c r="B145" t="s">
        <v>968</v>
      </c>
      <c r="C145" t="s">
        <v>1105</v>
      </c>
    </row>
    <row r="146" spans="1:3" x14ac:dyDescent="0.3">
      <c r="A146" t="s">
        <v>55</v>
      </c>
      <c r="B146" t="s">
        <v>991</v>
      </c>
      <c r="C146" t="s">
        <v>995</v>
      </c>
    </row>
    <row r="147" spans="1:3" x14ac:dyDescent="0.3">
      <c r="A147" t="s">
        <v>425</v>
      </c>
      <c r="B147" t="s">
        <v>975</v>
      </c>
      <c r="C147" t="s">
        <v>1133</v>
      </c>
    </row>
    <row r="148" spans="1:3" x14ac:dyDescent="0.3">
      <c r="A148" t="s">
        <v>554</v>
      </c>
      <c r="B148" t="s">
        <v>973</v>
      </c>
      <c r="C148" t="s">
        <v>1055</v>
      </c>
    </row>
    <row r="149" spans="1:3" x14ac:dyDescent="0.3">
      <c r="A149" t="s">
        <v>149</v>
      </c>
      <c r="B149" t="s">
        <v>991</v>
      </c>
      <c r="C149" t="s">
        <v>1035</v>
      </c>
    </row>
    <row r="150" spans="1:3" x14ac:dyDescent="0.3">
      <c r="A150" t="s">
        <v>408</v>
      </c>
      <c r="B150" t="s">
        <v>991</v>
      </c>
      <c r="C150" t="s">
        <v>1098</v>
      </c>
    </row>
    <row r="151" spans="1:3" x14ac:dyDescent="0.3">
      <c r="A151" t="s">
        <v>466</v>
      </c>
      <c r="B151" t="s">
        <v>968</v>
      </c>
      <c r="C151" t="s">
        <v>1140</v>
      </c>
    </row>
    <row r="152" spans="1:3" x14ac:dyDescent="0.3">
      <c r="A152" t="s">
        <v>118</v>
      </c>
      <c r="B152" t="s">
        <v>968</v>
      </c>
      <c r="C152" t="s">
        <v>1052</v>
      </c>
    </row>
    <row r="153" spans="1:3" x14ac:dyDescent="0.3">
      <c r="A153" t="s">
        <v>76</v>
      </c>
      <c r="B153" t="s">
        <v>968</v>
      </c>
      <c r="C153" t="s">
        <v>1026</v>
      </c>
    </row>
    <row r="154" spans="1:3" x14ac:dyDescent="0.3">
      <c r="A154" t="s">
        <v>16</v>
      </c>
      <c r="B154" t="s">
        <v>973</v>
      </c>
      <c r="C154" t="s">
        <v>974</v>
      </c>
    </row>
    <row r="155" spans="1:3" x14ac:dyDescent="0.3">
      <c r="A155" t="s">
        <v>426</v>
      </c>
      <c r="B155" t="s">
        <v>991</v>
      </c>
      <c r="C155" t="s">
        <v>1008</v>
      </c>
    </row>
    <row r="156" spans="1:3" x14ac:dyDescent="0.3">
      <c r="A156" t="s">
        <v>387</v>
      </c>
      <c r="B156" t="s">
        <v>971</v>
      </c>
      <c r="C156" t="s">
        <v>1089</v>
      </c>
    </row>
    <row r="157" spans="1:3" x14ac:dyDescent="0.3">
      <c r="A157" t="s">
        <v>69</v>
      </c>
      <c r="B157" t="s">
        <v>973</v>
      </c>
      <c r="C157" t="s">
        <v>1020</v>
      </c>
    </row>
    <row r="158" spans="1:3" x14ac:dyDescent="0.3">
      <c r="A158" t="s">
        <v>689</v>
      </c>
      <c r="B158" t="s">
        <v>991</v>
      </c>
      <c r="C158" t="s">
        <v>1010</v>
      </c>
    </row>
    <row r="159" spans="1:3" x14ac:dyDescent="0.3">
      <c r="A159" t="s">
        <v>897</v>
      </c>
      <c r="B159" t="s">
        <v>973</v>
      </c>
      <c r="C159" t="s">
        <v>1082</v>
      </c>
    </row>
    <row r="160" spans="1:3" x14ac:dyDescent="0.3">
      <c r="A160" t="s">
        <v>487</v>
      </c>
      <c r="B160" t="s">
        <v>973</v>
      </c>
      <c r="C160" t="s">
        <v>986</v>
      </c>
    </row>
    <row r="161" spans="1:3" x14ac:dyDescent="0.3">
      <c r="A161" t="s">
        <v>825</v>
      </c>
      <c r="B161" t="s">
        <v>968</v>
      </c>
      <c r="C161" t="s">
        <v>1022</v>
      </c>
    </row>
    <row r="162" spans="1:3" x14ac:dyDescent="0.3">
      <c r="A162" t="s">
        <v>465</v>
      </c>
      <c r="B162" t="s">
        <v>991</v>
      </c>
      <c r="C162" t="s">
        <v>1068</v>
      </c>
    </row>
    <row r="163" spans="1:3" x14ac:dyDescent="0.3">
      <c r="A163" t="s">
        <v>316</v>
      </c>
      <c r="B163" t="s">
        <v>991</v>
      </c>
      <c r="C163" t="s">
        <v>1027</v>
      </c>
    </row>
    <row r="164" spans="1:3" x14ac:dyDescent="0.3">
      <c r="A164" t="s">
        <v>327</v>
      </c>
      <c r="B164" t="s">
        <v>968</v>
      </c>
      <c r="C164" t="s">
        <v>1070</v>
      </c>
    </row>
    <row r="165" spans="1:3" x14ac:dyDescent="0.3">
      <c r="A165" t="s">
        <v>348</v>
      </c>
      <c r="B165" t="s">
        <v>973</v>
      </c>
      <c r="C165" t="s">
        <v>984</v>
      </c>
    </row>
    <row r="166" spans="1:3" x14ac:dyDescent="0.3">
      <c r="A166" t="s">
        <v>585</v>
      </c>
      <c r="B166" t="s">
        <v>991</v>
      </c>
      <c r="C166" t="s">
        <v>1005</v>
      </c>
    </row>
    <row r="167" spans="1:3" x14ac:dyDescent="0.3">
      <c r="A167" t="s">
        <v>843</v>
      </c>
      <c r="B167" t="s">
        <v>973</v>
      </c>
      <c r="C167" t="s">
        <v>1090</v>
      </c>
    </row>
    <row r="168" spans="1:3" x14ac:dyDescent="0.3">
      <c r="A168" t="s">
        <v>223</v>
      </c>
      <c r="B168" t="s">
        <v>981</v>
      </c>
      <c r="C168" t="s">
        <v>1077</v>
      </c>
    </row>
    <row r="169" spans="1:3" x14ac:dyDescent="0.3">
      <c r="A169" t="s">
        <v>11</v>
      </c>
      <c r="B169" t="s">
        <v>968</v>
      </c>
      <c r="C169" t="s">
        <v>969</v>
      </c>
    </row>
    <row r="170" spans="1:3" x14ac:dyDescent="0.3">
      <c r="A170" t="s">
        <v>84</v>
      </c>
      <c r="B170" t="s">
        <v>968</v>
      </c>
      <c r="C170" t="s">
        <v>1032</v>
      </c>
    </row>
    <row r="171" spans="1:3" x14ac:dyDescent="0.3">
      <c r="A171" t="s">
        <v>868</v>
      </c>
      <c r="B171" t="s">
        <v>973</v>
      </c>
      <c r="C171" t="s">
        <v>1075</v>
      </c>
    </row>
    <row r="172" spans="1:3" x14ac:dyDescent="0.3">
      <c r="A172" t="s">
        <v>731</v>
      </c>
      <c r="B172" t="s">
        <v>973</v>
      </c>
      <c r="C172" t="s">
        <v>997</v>
      </c>
    </row>
    <row r="173" spans="1:3" x14ac:dyDescent="0.3">
      <c r="A173" t="s">
        <v>572</v>
      </c>
      <c r="B173" t="s">
        <v>973</v>
      </c>
      <c r="C173" t="s">
        <v>1124</v>
      </c>
    </row>
    <row r="174" spans="1:3" x14ac:dyDescent="0.3">
      <c r="A174" t="s">
        <v>922</v>
      </c>
      <c r="B174" t="s">
        <v>975</v>
      </c>
      <c r="C174" t="s">
        <v>1014</v>
      </c>
    </row>
    <row r="175" spans="1:3" x14ac:dyDescent="0.3">
      <c r="A175" t="s">
        <v>879</v>
      </c>
      <c r="B175" t="s">
        <v>991</v>
      </c>
      <c r="C175" t="s">
        <v>1111</v>
      </c>
    </row>
    <row r="176" spans="1:3" x14ac:dyDescent="0.3">
      <c r="A176" t="s">
        <v>448</v>
      </c>
      <c r="B176" t="s">
        <v>973</v>
      </c>
      <c r="C176" t="s">
        <v>1015</v>
      </c>
    </row>
    <row r="177" spans="1:3" x14ac:dyDescent="0.3">
      <c r="A177" t="s">
        <v>652</v>
      </c>
      <c r="B177" t="s">
        <v>968</v>
      </c>
      <c r="C177" t="s">
        <v>1038</v>
      </c>
    </row>
    <row r="178" spans="1:3" x14ac:dyDescent="0.3">
      <c r="A178" t="s">
        <v>452</v>
      </c>
      <c r="B178" t="s">
        <v>973</v>
      </c>
      <c r="C178" t="s">
        <v>1110</v>
      </c>
    </row>
    <row r="179" spans="1:3" x14ac:dyDescent="0.3">
      <c r="A179" t="s">
        <v>598</v>
      </c>
      <c r="B179" t="s">
        <v>973</v>
      </c>
      <c r="C179" t="s">
        <v>1064</v>
      </c>
    </row>
    <row r="180" spans="1:3" x14ac:dyDescent="0.3">
      <c r="A180" t="s">
        <v>34</v>
      </c>
      <c r="B180" t="s">
        <v>991</v>
      </c>
      <c r="C180" t="s">
        <v>992</v>
      </c>
    </row>
    <row r="181" spans="1:3" x14ac:dyDescent="0.3">
      <c r="A181" t="s">
        <v>837</v>
      </c>
      <c r="B181" t="s">
        <v>975</v>
      </c>
      <c r="C181" t="s">
        <v>1014</v>
      </c>
    </row>
    <row r="182" spans="1:3" x14ac:dyDescent="0.3">
      <c r="A182" t="s">
        <v>410</v>
      </c>
      <c r="B182" t="s">
        <v>975</v>
      </c>
      <c r="C182" t="s">
        <v>1132</v>
      </c>
    </row>
    <row r="183" spans="1:3" x14ac:dyDescent="0.3">
      <c r="A183" t="s">
        <v>811</v>
      </c>
      <c r="B183" t="s">
        <v>973</v>
      </c>
      <c r="C183" t="s">
        <v>987</v>
      </c>
    </row>
    <row r="184" spans="1:3" x14ac:dyDescent="0.3">
      <c r="A184" t="s">
        <v>644</v>
      </c>
      <c r="B184" t="s">
        <v>973</v>
      </c>
      <c r="C184" t="s">
        <v>1004</v>
      </c>
    </row>
    <row r="185" spans="1:3" x14ac:dyDescent="0.3">
      <c r="A185" t="s">
        <v>329</v>
      </c>
      <c r="B185" t="s">
        <v>975</v>
      </c>
      <c r="C185" t="s">
        <v>1125</v>
      </c>
    </row>
    <row r="186" spans="1:3" x14ac:dyDescent="0.3">
      <c r="A186" t="s">
        <v>863</v>
      </c>
      <c r="B186" t="s">
        <v>973</v>
      </c>
      <c r="C186" t="s">
        <v>1078</v>
      </c>
    </row>
    <row r="187" spans="1:3" x14ac:dyDescent="0.3">
      <c r="A187" t="s">
        <v>294</v>
      </c>
      <c r="B187" t="s">
        <v>991</v>
      </c>
      <c r="C187" t="s">
        <v>1007</v>
      </c>
    </row>
    <row r="188" spans="1:3" x14ac:dyDescent="0.3">
      <c r="A188" t="s">
        <v>165</v>
      </c>
      <c r="B188" t="s">
        <v>973</v>
      </c>
      <c r="C188" t="s">
        <v>1015</v>
      </c>
    </row>
    <row r="189" spans="1:3" x14ac:dyDescent="0.3">
      <c r="A189" t="s">
        <v>321</v>
      </c>
      <c r="B189" t="s">
        <v>991</v>
      </c>
      <c r="C189" t="s">
        <v>1101</v>
      </c>
    </row>
    <row r="190" spans="1:3" x14ac:dyDescent="0.3">
      <c r="A190" t="s">
        <v>265</v>
      </c>
      <c r="B190" t="s">
        <v>973</v>
      </c>
      <c r="C190" t="s">
        <v>1018</v>
      </c>
    </row>
    <row r="191" spans="1:3" x14ac:dyDescent="0.3">
      <c r="A191" t="s">
        <v>369</v>
      </c>
      <c r="B191" t="s">
        <v>975</v>
      </c>
      <c r="C191" t="s">
        <v>1013</v>
      </c>
    </row>
    <row r="192" spans="1:3" x14ac:dyDescent="0.3">
      <c r="A192" t="s">
        <v>113</v>
      </c>
      <c r="B192" t="s">
        <v>973</v>
      </c>
      <c r="C192" t="s">
        <v>1050</v>
      </c>
    </row>
    <row r="193" spans="1:3" x14ac:dyDescent="0.3">
      <c r="A193" t="s">
        <v>299</v>
      </c>
      <c r="B193" t="s">
        <v>973</v>
      </c>
      <c r="C193" t="s">
        <v>979</v>
      </c>
    </row>
    <row r="194" spans="1:3" x14ac:dyDescent="0.3">
      <c r="A194" t="s">
        <v>417</v>
      </c>
      <c r="B194" t="s">
        <v>973</v>
      </c>
      <c r="C194" t="s">
        <v>1120</v>
      </c>
    </row>
    <row r="195" spans="1:3" x14ac:dyDescent="0.3">
      <c r="A195" t="s">
        <v>889</v>
      </c>
      <c r="B195" t="s">
        <v>981</v>
      </c>
      <c r="C195" t="s">
        <v>982</v>
      </c>
    </row>
    <row r="196" spans="1:3" x14ac:dyDescent="0.3">
      <c r="A196" t="s">
        <v>295</v>
      </c>
      <c r="B196" t="s">
        <v>973</v>
      </c>
      <c r="C196" t="s">
        <v>1061</v>
      </c>
    </row>
    <row r="197" spans="1:3" x14ac:dyDescent="0.3">
      <c r="A197" t="s">
        <v>932</v>
      </c>
      <c r="B197" t="s">
        <v>971</v>
      </c>
      <c r="C197" t="s">
        <v>1045</v>
      </c>
    </row>
    <row r="198" spans="1:3" x14ac:dyDescent="0.3">
      <c r="A198" t="s">
        <v>633</v>
      </c>
      <c r="B198" t="s">
        <v>975</v>
      </c>
      <c r="C198" t="s">
        <v>1133</v>
      </c>
    </row>
    <row r="199" spans="1:3" x14ac:dyDescent="0.3">
      <c r="A199" t="s">
        <v>505</v>
      </c>
      <c r="B199" t="s">
        <v>968</v>
      </c>
      <c r="C199" t="s">
        <v>1026</v>
      </c>
    </row>
    <row r="200" spans="1:3" x14ac:dyDescent="0.3">
      <c r="A200" t="s">
        <v>809</v>
      </c>
      <c r="B200" t="s">
        <v>973</v>
      </c>
      <c r="C200" t="s">
        <v>1006</v>
      </c>
    </row>
    <row r="201" spans="1:3" x14ac:dyDescent="0.3">
      <c r="A201" t="s">
        <v>965</v>
      </c>
      <c r="B201" t="s">
        <v>973</v>
      </c>
      <c r="C201" t="s">
        <v>1020</v>
      </c>
    </row>
    <row r="202" spans="1:3" x14ac:dyDescent="0.3">
      <c r="A202" t="s">
        <v>46</v>
      </c>
      <c r="B202" t="s">
        <v>991</v>
      </c>
      <c r="C202" t="s">
        <v>1002</v>
      </c>
    </row>
    <row r="203" spans="1:3" x14ac:dyDescent="0.3">
      <c r="A203" t="s">
        <v>963</v>
      </c>
      <c r="B203" t="s">
        <v>991</v>
      </c>
      <c r="C203" t="s">
        <v>1117</v>
      </c>
    </row>
    <row r="204" spans="1:3" x14ac:dyDescent="0.3">
      <c r="A204" t="s">
        <v>881</v>
      </c>
      <c r="B204" t="s">
        <v>968</v>
      </c>
      <c r="C204" t="s">
        <v>1118</v>
      </c>
    </row>
    <row r="205" spans="1:3" x14ac:dyDescent="0.3">
      <c r="A205" t="s">
        <v>388</v>
      </c>
      <c r="B205" t="s">
        <v>975</v>
      </c>
      <c r="C205" t="s">
        <v>976</v>
      </c>
    </row>
    <row r="206" spans="1:3" x14ac:dyDescent="0.3">
      <c r="A206" t="s">
        <v>591</v>
      </c>
      <c r="B206" t="s">
        <v>981</v>
      </c>
      <c r="C206" t="s">
        <v>1128</v>
      </c>
    </row>
    <row r="207" spans="1:3" x14ac:dyDescent="0.3">
      <c r="A207" t="s">
        <v>477</v>
      </c>
      <c r="B207" t="s">
        <v>973</v>
      </c>
      <c r="C207" t="s">
        <v>997</v>
      </c>
    </row>
    <row r="208" spans="1:3" x14ac:dyDescent="0.3">
      <c r="A208" t="s">
        <v>589</v>
      </c>
      <c r="B208" t="s">
        <v>973</v>
      </c>
      <c r="C208" t="s">
        <v>1150</v>
      </c>
    </row>
    <row r="209" spans="1:3" x14ac:dyDescent="0.3">
      <c r="A209" t="s">
        <v>523</v>
      </c>
      <c r="B209" t="s">
        <v>973</v>
      </c>
      <c r="C209" t="s">
        <v>979</v>
      </c>
    </row>
    <row r="210" spans="1:3" x14ac:dyDescent="0.3">
      <c r="A210" t="s">
        <v>153</v>
      </c>
      <c r="B210" t="s">
        <v>973</v>
      </c>
      <c r="C210" t="s">
        <v>1072</v>
      </c>
    </row>
    <row r="211" spans="1:3" x14ac:dyDescent="0.3">
      <c r="A211" t="s">
        <v>911</v>
      </c>
      <c r="B211" t="s">
        <v>968</v>
      </c>
      <c r="C211" t="s">
        <v>1087</v>
      </c>
    </row>
    <row r="212" spans="1:3" x14ac:dyDescent="0.3">
      <c r="A212" t="s">
        <v>22</v>
      </c>
      <c r="B212" t="s">
        <v>973</v>
      </c>
      <c r="C212" t="s">
        <v>979</v>
      </c>
    </row>
    <row r="213" spans="1:3" x14ac:dyDescent="0.3">
      <c r="A213" t="s">
        <v>902</v>
      </c>
      <c r="B213" t="s">
        <v>973</v>
      </c>
      <c r="C213" t="s">
        <v>979</v>
      </c>
    </row>
    <row r="214" spans="1:3" x14ac:dyDescent="0.3">
      <c r="A214" t="s">
        <v>883</v>
      </c>
      <c r="B214" t="s">
        <v>968</v>
      </c>
      <c r="C214" t="s">
        <v>1048</v>
      </c>
    </row>
    <row r="215" spans="1:3" x14ac:dyDescent="0.3">
      <c r="A215" t="s">
        <v>413</v>
      </c>
      <c r="B215" t="s">
        <v>973</v>
      </c>
      <c r="C215" t="s">
        <v>1112</v>
      </c>
    </row>
    <row r="216" spans="1:3" x14ac:dyDescent="0.3">
      <c r="A216" t="s">
        <v>438</v>
      </c>
      <c r="B216" t="s">
        <v>973</v>
      </c>
      <c r="C216" t="s">
        <v>1136</v>
      </c>
    </row>
    <row r="217" spans="1:3" x14ac:dyDescent="0.3">
      <c r="A217" t="s">
        <v>624</v>
      </c>
      <c r="B217" t="s">
        <v>991</v>
      </c>
      <c r="C217" t="s">
        <v>1005</v>
      </c>
    </row>
    <row r="218" spans="1:3" x14ac:dyDescent="0.3">
      <c r="A218" t="s">
        <v>668</v>
      </c>
      <c r="B218" t="s">
        <v>971</v>
      </c>
      <c r="C218" t="s">
        <v>1113</v>
      </c>
    </row>
    <row r="219" spans="1:3" x14ac:dyDescent="0.3">
      <c r="A219" t="s">
        <v>871</v>
      </c>
      <c r="B219" t="s">
        <v>968</v>
      </c>
      <c r="C219" t="s">
        <v>1070</v>
      </c>
    </row>
    <row r="220" spans="1:3" x14ac:dyDescent="0.3">
      <c r="A220" t="s">
        <v>158</v>
      </c>
      <c r="B220" t="s">
        <v>971</v>
      </c>
      <c r="C220" t="s">
        <v>1016</v>
      </c>
    </row>
    <row r="221" spans="1:3" x14ac:dyDescent="0.3">
      <c r="A221" t="s">
        <v>548</v>
      </c>
      <c r="B221" t="s">
        <v>975</v>
      </c>
      <c r="C221" t="s">
        <v>1013</v>
      </c>
    </row>
    <row r="222" spans="1:3" x14ac:dyDescent="0.3">
      <c r="A222" t="s">
        <v>86</v>
      </c>
      <c r="B222" t="s">
        <v>971</v>
      </c>
      <c r="C222" t="s">
        <v>980</v>
      </c>
    </row>
    <row r="223" spans="1:3" x14ac:dyDescent="0.3">
      <c r="A223" t="s">
        <v>64</v>
      </c>
      <c r="B223" t="s">
        <v>991</v>
      </c>
      <c r="C223" t="s">
        <v>1017</v>
      </c>
    </row>
    <row r="224" spans="1:3" x14ac:dyDescent="0.3">
      <c r="A224" t="s">
        <v>844</v>
      </c>
      <c r="B224" t="s">
        <v>991</v>
      </c>
      <c r="C224" t="s">
        <v>1034</v>
      </c>
    </row>
    <row r="225" spans="1:3" x14ac:dyDescent="0.3">
      <c r="A225" t="s">
        <v>106</v>
      </c>
      <c r="B225" t="s">
        <v>971</v>
      </c>
      <c r="C225" t="s">
        <v>1045</v>
      </c>
    </row>
    <row r="226" spans="1:3" x14ac:dyDescent="0.3">
      <c r="A226" t="s">
        <v>45</v>
      </c>
      <c r="B226" t="s">
        <v>971</v>
      </c>
      <c r="C226" t="s">
        <v>1001</v>
      </c>
    </row>
    <row r="227" spans="1:3" x14ac:dyDescent="0.3">
      <c r="A227" t="s">
        <v>596</v>
      </c>
      <c r="B227" t="s">
        <v>973</v>
      </c>
      <c r="C227" t="s">
        <v>1126</v>
      </c>
    </row>
    <row r="228" spans="1:3" x14ac:dyDescent="0.3">
      <c r="A228" t="s">
        <v>831</v>
      </c>
      <c r="B228" t="s">
        <v>991</v>
      </c>
      <c r="C228" t="s">
        <v>992</v>
      </c>
    </row>
    <row r="229" spans="1:3" x14ac:dyDescent="0.3">
      <c r="A229" t="s">
        <v>271</v>
      </c>
      <c r="B229" t="s">
        <v>973</v>
      </c>
      <c r="C229" t="s">
        <v>983</v>
      </c>
    </row>
    <row r="230" spans="1:3" x14ac:dyDescent="0.3">
      <c r="A230" t="s">
        <v>507</v>
      </c>
      <c r="B230" t="s">
        <v>971</v>
      </c>
      <c r="C230" t="s">
        <v>1095</v>
      </c>
    </row>
    <row r="231" spans="1:3" x14ac:dyDescent="0.3">
      <c r="A231" t="s">
        <v>112</v>
      </c>
      <c r="B231" t="s">
        <v>973</v>
      </c>
      <c r="C231" t="s">
        <v>997</v>
      </c>
    </row>
    <row r="232" spans="1:3" x14ac:dyDescent="0.3">
      <c r="A232" t="s">
        <v>445</v>
      </c>
      <c r="B232" t="s">
        <v>975</v>
      </c>
      <c r="C232" t="s">
        <v>976</v>
      </c>
    </row>
    <row r="233" spans="1:3" x14ac:dyDescent="0.3">
      <c r="A233" t="s">
        <v>906</v>
      </c>
      <c r="B233" t="s">
        <v>971</v>
      </c>
      <c r="C233" t="s">
        <v>988</v>
      </c>
    </row>
    <row r="234" spans="1:3" x14ac:dyDescent="0.3">
      <c r="A234" t="s">
        <v>147</v>
      </c>
      <c r="B234" t="s">
        <v>968</v>
      </c>
      <c r="C234" t="s">
        <v>1070</v>
      </c>
    </row>
    <row r="235" spans="1:3" x14ac:dyDescent="0.3">
      <c r="A235" t="s">
        <v>822</v>
      </c>
      <c r="B235" t="s">
        <v>975</v>
      </c>
      <c r="C235" t="s">
        <v>1132</v>
      </c>
    </row>
    <row r="236" spans="1:3" x14ac:dyDescent="0.3">
      <c r="A236" t="s">
        <v>817</v>
      </c>
      <c r="B236" t="s">
        <v>968</v>
      </c>
      <c r="C236" t="s">
        <v>1119</v>
      </c>
    </row>
    <row r="237" spans="1:3" x14ac:dyDescent="0.3">
      <c r="A237" t="s">
        <v>141</v>
      </c>
      <c r="B237" t="s">
        <v>971</v>
      </c>
      <c r="C237" t="s">
        <v>1067</v>
      </c>
    </row>
    <row r="238" spans="1:3" x14ac:dyDescent="0.3">
      <c r="A238" t="s">
        <v>88</v>
      </c>
      <c r="B238" t="s">
        <v>991</v>
      </c>
      <c r="C238" t="s">
        <v>1033</v>
      </c>
    </row>
    <row r="239" spans="1:3" x14ac:dyDescent="0.3">
      <c r="A239" t="s">
        <v>424</v>
      </c>
      <c r="B239" t="s">
        <v>968</v>
      </c>
      <c r="C239" t="s">
        <v>969</v>
      </c>
    </row>
    <row r="240" spans="1:3" x14ac:dyDescent="0.3">
      <c r="A240" t="s">
        <v>54</v>
      </c>
      <c r="B240" t="s">
        <v>973</v>
      </c>
      <c r="C240" t="s">
        <v>1009</v>
      </c>
    </row>
    <row r="241" spans="1:3" x14ac:dyDescent="0.3">
      <c r="A241" t="s">
        <v>616</v>
      </c>
      <c r="B241" t="s">
        <v>968</v>
      </c>
      <c r="C241" t="s">
        <v>1134</v>
      </c>
    </row>
    <row r="242" spans="1:3" x14ac:dyDescent="0.3">
      <c r="A242" t="s">
        <v>202</v>
      </c>
      <c r="B242" t="s">
        <v>971</v>
      </c>
      <c r="C242" t="s">
        <v>1067</v>
      </c>
    </row>
    <row r="243" spans="1:3" x14ac:dyDescent="0.3">
      <c r="A243" t="s">
        <v>431</v>
      </c>
      <c r="B243" t="s">
        <v>975</v>
      </c>
      <c r="C243" t="s">
        <v>1135</v>
      </c>
    </row>
    <row r="244" spans="1:3" x14ac:dyDescent="0.3">
      <c r="A244" t="s">
        <v>282</v>
      </c>
      <c r="B244" t="s">
        <v>968</v>
      </c>
      <c r="C244" t="s">
        <v>970</v>
      </c>
    </row>
    <row r="245" spans="1:3" x14ac:dyDescent="0.3">
      <c r="A245" t="s">
        <v>934</v>
      </c>
      <c r="B245" t="s">
        <v>975</v>
      </c>
      <c r="C245" t="s">
        <v>1056</v>
      </c>
    </row>
    <row r="246" spans="1:3" x14ac:dyDescent="0.3">
      <c r="A246" t="s">
        <v>835</v>
      </c>
      <c r="B246" t="s">
        <v>981</v>
      </c>
      <c r="C246" t="s">
        <v>982</v>
      </c>
    </row>
    <row r="247" spans="1:3" x14ac:dyDescent="0.3">
      <c r="A247" t="s">
        <v>656</v>
      </c>
      <c r="B247" t="s">
        <v>973</v>
      </c>
      <c r="C247" t="s">
        <v>1112</v>
      </c>
    </row>
    <row r="248" spans="1:3" x14ac:dyDescent="0.3">
      <c r="A248" t="s">
        <v>385</v>
      </c>
      <c r="B248" t="s">
        <v>968</v>
      </c>
      <c r="C248" t="s">
        <v>1131</v>
      </c>
    </row>
    <row r="249" spans="1:3" x14ac:dyDescent="0.3">
      <c r="A249" t="s">
        <v>782</v>
      </c>
      <c r="B249" t="s">
        <v>981</v>
      </c>
      <c r="C249" t="s">
        <v>982</v>
      </c>
    </row>
    <row r="250" spans="1:3" x14ac:dyDescent="0.3">
      <c r="A250" t="s">
        <v>683</v>
      </c>
      <c r="B250" t="s">
        <v>968</v>
      </c>
      <c r="C250" t="s">
        <v>1087</v>
      </c>
    </row>
    <row r="251" spans="1:3" x14ac:dyDescent="0.3">
      <c r="A251" t="s">
        <v>511</v>
      </c>
      <c r="B251" t="s">
        <v>971</v>
      </c>
      <c r="C251" t="s">
        <v>1016</v>
      </c>
    </row>
    <row r="252" spans="1:3" x14ac:dyDescent="0.3">
      <c r="A252" t="s">
        <v>145</v>
      </c>
      <c r="B252" t="s">
        <v>973</v>
      </c>
      <c r="C252" t="s">
        <v>1069</v>
      </c>
    </row>
    <row r="253" spans="1:3" x14ac:dyDescent="0.3">
      <c r="A253" t="s">
        <v>25</v>
      </c>
      <c r="B253" t="s">
        <v>981</v>
      </c>
      <c r="C253" t="s">
        <v>982</v>
      </c>
    </row>
    <row r="254" spans="1:3" x14ac:dyDescent="0.3">
      <c r="A254" t="s">
        <v>636</v>
      </c>
      <c r="B254" t="s">
        <v>968</v>
      </c>
      <c r="C254" t="s">
        <v>1039</v>
      </c>
    </row>
    <row r="255" spans="1:3" x14ac:dyDescent="0.3">
      <c r="A255" t="s">
        <v>716</v>
      </c>
      <c r="B255" t="s">
        <v>991</v>
      </c>
      <c r="C255" t="s">
        <v>1059</v>
      </c>
    </row>
    <row r="256" spans="1:3" x14ac:dyDescent="0.3">
      <c r="A256" t="s">
        <v>494</v>
      </c>
      <c r="B256" t="s">
        <v>975</v>
      </c>
      <c r="C256" t="s">
        <v>1013</v>
      </c>
    </row>
    <row r="257" spans="1:3" x14ac:dyDescent="0.3">
      <c r="A257" t="s">
        <v>635</v>
      </c>
      <c r="B257" t="s">
        <v>973</v>
      </c>
      <c r="C257" t="s">
        <v>994</v>
      </c>
    </row>
    <row r="258" spans="1:3" x14ac:dyDescent="0.3">
      <c r="A258" t="s">
        <v>711</v>
      </c>
      <c r="B258" t="s">
        <v>968</v>
      </c>
      <c r="C258" t="s">
        <v>1073</v>
      </c>
    </row>
    <row r="259" spans="1:3" x14ac:dyDescent="0.3">
      <c r="A259" t="s">
        <v>613</v>
      </c>
      <c r="B259" t="s">
        <v>973</v>
      </c>
      <c r="C259" t="s">
        <v>1121</v>
      </c>
    </row>
    <row r="260" spans="1:3" x14ac:dyDescent="0.3">
      <c r="A260" t="s">
        <v>637</v>
      </c>
      <c r="B260" t="s">
        <v>968</v>
      </c>
      <c r="C260" t="s">
        <v>1145</v>
      </c>
    </row>
    <row r="261" spans="1:3" x14ac:dyDescent="0.3">
      <c r="A261" t="s">
        <v>266</v>
      </c>
      <c r="B261" t="s">
        <v>991</v>
      </c>
      <c r="C261" t="s">
        <v>1114</v>
      </c>
    </row>
    <row r="262" spans="1:3" x14ac:dyDescent="0.3">
      <c r="A262" t="s">
        <v>481</v>
      </c>
      <c r="B262" t="s">
        <v>968</v>
      </c>
      <c r="C262" t="s">
        <v>1143</v>
      </c>
    </row>
    <row r="263" spans="1:3" x14ac:dyDescent="0.3">
      <c r="A263" t="s">
        <v>437</v>
      </c>
      <c r="B263" t="s">
        <v>975</v>
      </c>
      <c r="C263" t="s">
        <v>1029</v>
      </c>
    </row>
    <row r="264" spans="1:3" x14ac:dyDescent="0.3">
      <c r="A264" t="s">
        <v>353</v>
      </c>
      <c r="B264" t="s">
        <v>973</v>
      </c>
      <c r="C264" t="s">
        <v>1028</v>
      </c>
    </row>
    <row r="265" spans="1:3" x14ac:dyDescent="0.3">
      <c r="A265" t="s">
        <v>517</v>
      </c>
      <c r="B265" t="s">
        <v>968</v>
      </c>
      <c r="C265" t="s">
        <v>1144</v>
      </c>
    </row>
    <row r="266" spans="1:3" x14ac:dyDescent="0.3">
      <c r="A266" t="s">
        <v>312</v>
      </c>
      <c r="B266" t="s">
        <v>973</v>
      </c>
      <c r="C266" t="s">
        <v>1060</v>
      </c>
    </row>
    <row r="267" spans="1:3" x14ac:dyDescent="0.3">
      <c r="A267" t="s">
        <v>893</v>
      </c>
      <c r="B267" t="s">
        <v>973</v>
      </c>
      <c r="C267" t="s">
        <v>1096</v>
      </c>
    </row>
    <row r="268" spans="1:3" x14ac:dyDescent="0.3">
      <c r="A268" t="s">
        <v>551</v>
      </c>
      <c r="B268" t="s">
        <v>975</v>
      </c>
      <c r="C268" t="s">
        <v>1014</v>
      </c>
    </row>
    <row r="269" spans="1:3" x14ac:dyDescent="0.3">
      <c r="A269" t="s">
        <v>529</v>
      </c>
      <c r="B269" t="s">
        <v>991</v>
      </c>
      <c r="C269" t="s">
        <v>1007</v>
      </c>
    </row>
    <row r="270" spans="1:3" x14ac:dyDescent="0.3">
      <c r="A270" t="s">
        <v>42</v>
      </c>
      <c r="B270" t="s">
        <v>973</v>
      </c>
      <c r="C270" t="s">
        <v>999</v>
      </c>
    </row>
    <row r="271" spans="1:3" x14ac:dyDescent="0.3">
      <c r="A271" t="s">
        <v>690</v>
      </c>
      <c r="B271" t="s">
        <v>991</v>
      </c>
      <c r="C271" t="s">
        <v>993</v>
      </c>
    </row>
    <row r="272" spans="1:3" x14ac:dyDescent="0.3">
      <c r="A272" t="s">
        <v>705</v>
      </c>
      <c r="B272" t="s">
        <v>975</v>
      </c>
      <c r="C272" t="s">
        <v>1135</v>
      </c>
    </row>
    <row r="273" spans="1:3" x14ac:dyDescent="0.3">
      <c r="A273" t="s">
        <v>708</v>
      </c>
      <c r="B273" t="s">
        <v>968</v>
      </c>
      <c r="C273" t="s">
        <v>1003</v>
      </c>
    </row>
    <row r="274" spans="1:3" x14ac:dyDescent="0.3">
      <c r="A274" t="s">
        <v>432</v>
      </c>
      <c r="B274" t="s">
        <v>968</v>
      </c>
      <c r="C274" t="s">
        <v>1070</v>
      </c>
    </row>
    <row r="275" spans="1:3" x14ac:dyDescent="0.3">
      <c r="A275" t="s">
        <v>916</v>
      </c>
      <c r="B275" t="s">
        <v>973</v>
      </c>
      <c r="C275" t="s">
        <v>1028</v>
      </c>
    </row>
    <row r="276" spans="1:3" x14ac:dyDescent="0.3">
      <c r="A276" t="s">
        <v>307</v>
      </c>
      <c r="B276" t="s">
        <v>968</v>
      </c>
      <c r="C276" t="s">
        <v>1036</v>
      </c>
    </row>
    <row r="277" spans="1:3" x14ac:dyDescent="0.3">
      <c r="A277" t="s">
        <v>538</v>
      </c>
      <c r="B277" t="s">
        <v>973</v>
      </c>
      <c r="C277" t="s">
        <v>1085</v>
      </c>
    </row>
    <row r="278" spans="1:3" x14ac:dyDescent="0.3">
      <c r="A278" t="s">
        <v>201</v>
      </c>
      <c r="B278" t="s">
        <v>968</v>
      </c>
      <c r="C278" t="s">
        <v>1094</v>
      </c>
    </row>
    <row r="279" spans="1:3" x14ac:dyDescent="0.3">
      <c r="A279" t="s">
        <v>142</v>
      </c>
      <c r="B279" t="s">
        <v>973</v>
      </c>
      <c r="C279" t="s">
        <v>998</v>
      </c>
    </row>
    <row r="280" spans="1:3" x14ac:dyDescent="0.3">
      <c r="A280" t="s">
        <v>443</v>
      </c>
      <c r="B280" t="s">
        <v>971</v>
      </c>
      <c r="C280" t="s">
        <v>1139</v>
      </c>
    </row>
    <row r="281" spans="1:3" x14ac:dyDescent="0.3">
      <c r="A281" t="s">
        <v>414</v>
      </c>
      <c r="B281" t="s">
        <v>975</v>
      </c>
      <c r="C281" t="s">
        <v>1065</v>
      </c>
    </row>
    <row r="282" spans="1:3" x14ac:dyDescent="0.3">
      <c r="A282" t="s">
        <v>915</v>
      </c>
      <c r="B282" t="s">
        <v>968</v>
      </c>
      <c r="C282" t="s">
        <v>1054</v>
      </c>
    </row>
    <row r="283" spans="1:3" x14ac:dyDescent="0.3">
      <c r="A283" t="s">
        <v>628</v>
      </c>
      <c r="B283" t="s">
        <v>971</v>
      </c>
      <c r="C283" t="s">
        <v>1113</v>
      </c>
    </row>
    <row r="284" spans="1:3" x14ac:dyDescent="0.3">
      <c r="A284" t="s">
        <v>661</v>
      </c>
      <c r="B284" t="s">
        <v>971</v>
      </c>
      <c r="C284" t="s">
        <v>1012</v>
      </c>
    </row>
    <row r="285" spans="1:3" x14ac:dyDescent="0.3">
      <c r="A285" t="s">
        <v>189</v>
      </c>
      <c r="B285" t="s">
        <v>971</v>
      </c>
      <c r="C285" t="s">
        <v>1089</v>
      </c>
    </row>
    <row r="286" spans="1:3" x14ac:dyDescent="0.3">
      <c r="A286" t="s">
        <v>848</v>
      </c>
      <c r="B286" t="s">
        <v>991</v>
      </c>
      <c r="C286" t="s">
        <v>995</v>
      </c>
    </row>
    <row r="287" spans="1:3" x14ac:dyDescent="0.3">
      <c r="A287" t="s">
        <v>700</v>
      </c>
      <c r="B287" t="s">
        <v>973</v>
      </c>
      <c r="C287" t="s">
        <v>1081</v>
      </c>
    </row>
    <row r="288" spans="1:3" x14ac:dyDescent="0.3">
      <c r="A288" t="s">
        <v>217</v>
      </c>
      <c r="B288" t="s">
        <v>971</v>
      </c>
      <c r="C288" t="s">
        <v>988</v>
      </c>
    </row>
    <row r="289" spans="1:3" x14ac:dyDescent="0.3">
      <c r="A289" t="s">
        <v>258</v>
      </c>
      <c r="B289" t="s">
        <v>971</v>
      </c>
      <c r="C289" t="s">
        <v>1045</v>
      </c>
    </row>
    <row r="290" spans="1:3" x14ac:dyDescent="0.3">
      <c r="A290" t="s">
        <v>472</v>
      </c>
      <c r="B290" t="s">
        <v>973</v>
      </c>
      <c r="C290" t="s">
        <v>1025</v>
      </c>
    </row>
    <row r="291" spans="1:3" x14ac:dyDescent="0.3">
      <c r="A291" t="s">
        <v>383</v>
      </c>
      <c r="B291" t="s">
        <v>968</v>
      </c>
      <c r="C291" t="s">
        <v>1091</v>
      </c>
    </row>
    <row r="292" spans="1:3" x14ac:dyDescent="0.3">
      <c r="A292" t="s">
        <v>746</v>
      </c>
      <c r="B292" t="s">
        <v>975</v>
      </c>
      <c r="C292" t="s">
        <v>1044</v>
      </c>
    </row>
    <row r="293" spans="1:3" x14ac:dyDescent="0.3">
      <c r="A293" t="s">
        <v>460</v>
      </c>
      <c r="B293" t="s">
        <v>968</v>
      </c>
      <c r="C293" t="s">
        <v>1057</v>
      </c>
    </row>
    <row r="294" spans="1:3" x14ac:dyDescent="0.3">
      <c r="A294" t="s">
        <v>252</v>
      </c>
      <c r="B294" t="s">
        <v>973</v>
      </c>
      <c r="C294" t="s">
        <v>1109</v>
      </c>
    </row>
    <row r="295" spans="1:3" x14ac:dyDescent="0.3">
      <c r="A295" t="s">
        <v>320</v>
      </c>
      <c r="B295" t="s">
        <v>968</v>
      </c>
      <c r="C295" t="s">
        <v>1097</v>
      </c>
    </row>
    <row r="296" spans="1:3" x14ac:dyDescent="0.3">
      <c r="A296" t="s">
        <v>130</v>
      </c>
      <c r="B296" t="s">
        <v>975</v>
      </c>
      <c r="C296" t="s">
        <v>1044</v>
      </c>
    </row>
    <row r="297" spans="1:3" x14ac:dyDescent="0.3">
      <c r="A297" t="s">
        <v>317</v>
      </c>
      <c r="B297" t="s">
        <v>968</v>
      </c>
      <c r="C297" t="s">
        <v>1032</v>
      </c>
    </row>
    <row r="298" spans="1:3" x14ac:dyDescent="0.3">
      <c r="A298" t="s">
        <v>958</v>
      </c>
      <c r="B298" t="s">
        <v>981</v>
      </c>
      <c r="C298" t="s">
        <v>1108</v>
      </c>
    </row>
    <row r="299" spans="1:3" x14ac:dyDescent="0.3">
      <c r="A299" t="s">
        <v>949</v>
      </c>
      <c r="B299" t="s">
        <v>968</v>
      </c>
      <c r="C299" t="s">
        <v>1048</v>
      </c>
    </row>
    <row r="300" spans="1:3" x14ac:dyDescent="0.3">
      <c r="A300" t="s">
        <v>480</v>
      </c>
      <c r="B300" t="s">
        <v>968</v>
      </c>
      <c r="C300" t="s">
        <v>1023</v>
      </c>
    </row>
    <row r="301" spans="1:3" x14ac:dyDescent="0.3">
      <c r="A301" t="s">
        <v>877</v>
      </c>
      <c r="B301" t="s">
        <v>975</v>
      </c>
      <c r="C301" t="s">
        <v>1125</v>
      </c>
    </row>
    <row r="302" spans="1:3" x14ac:dyDescent="0.3">
      <c r="A302" t="s">
        <v>797</v>
      </c>
      <c r="B302" t="s">
        <v>973</v>
      </c>
      <c r="C302" t="s">
        <v>1020</v>
      </c>
    </row>
    <row r="303" spans="1:3" x14ac:dyDescent="0.3">
      <c r="A303" t="s">
        <v>102</v>
      </c>
      <c r="B303" t="s">
        <v>968</v>
      </c>
      <c r="C303" t="s">
        <v>1043</v>
      </c>
    </row>
    <row r="304" spans="1:3" x14ac:dyDescent="0.3">
      <c r="A304" t="s">
        <v>132</v>
      </c>
      <c r="B304" t="s">
        <v>973</v>
      </c>
      <c r="C304" t="s">
        <v>1060</v>
      </c>
    </row>
    <row r="305" spans="1:3" x14ac:dyDescent="0.3">
      <c r="A305" t="s">
        <v>440</v>
      </c>
      <c r="B305" t="s">
        <v>973</v>
      </c>
      <c r="C305" t="s">
        <v>1124</v>
      </c>
    </row>
    <row r="306" spans="1:3" x14ac:dyDescent="0.3">
      <c r="A306" t="s">
        <v>210</v>
      </c>
      <c r="B306" t="s">
        <v>991</v>
      </c>
      <c r="C306" t="s">
        <v>1008</v>
      </c>
    </row>
    <row r="307" spans="1:3" x14ac:dyDescent="0.3">
      <c r="A307" t="s">
        <v>124</v>
      </c>
      <c r="B307" t="s">
        <v>975</v>
      </c>
      <c r="C307" t="s">
        <v>1056</v>
      </c>
    </row>
    <row r="308" spans="1:3" x14ac:dyDescent="0.3">
      <c r="A308" t="s">
        <v>221</v>
      </c>
      <c r="B308" t="s">
        <v>973</v>
      </c>
      <c r="C308" t="s">
        <v>998</v>
      </c>
    </row>
    <row r="309" spans="1:3" x14ac:dyDescent="0.3">
      <c r="A309" t="s">
        <v>75</v>
      </c>
      <c r="B309" t="s">
        <v>973</v>
      </c>
      <c r="C309" t="s">
        <v>1025</v>
      </c>
    </row>
    <row r="310" spans="1:3" x14ac:dyDescent="0.3">
      <c r="A310" t="s">
        <v>89</v>
      </c>
      <c r="B310" t="s">
        <v>991</v>
      </c>
      <c r="C310" t="s">
        <v>1034</v>
      </c>
    </row>
    <row r="311" spans="1:3" x14ac:dyDescent="0.3">
      <c r="A311" t="s">
        <v>853</v>
      </c>
      <c r="B311" t="s">
        <v>971</v>
      </c>
      <c r="C311" t="s">
        <v>1139</v>
      </c>
    </row>
    <row r="312" spans="1:3" x14ac:dyDescent="0.3">
      <c r="A312" t="s">
        <v>798</v>
      </c>
      <c r="B312" t="s">
        <v>973</v>
      </c>
      <c r="C312" t="s">
        <v>1121</v>
      </c>
    </row>
    <row r="313" spans="1:3" x14ac:dyDescent="0.3">
      <c r="A313" t="s">
        <v>651</v>
      </c>
      <c r="B313" t="s">
        <v>968</v>
      </c>
      <c r="C313" t="s">
        <v>1062</v>
      </c>
    </row>
    <row r="314" spans="1:3" x14ac:dyDescent="0.3">
      <c r="A314" t="s">
        <v>594</v>
      </c>
      <c r="B314" t="s">
        <v>981</v>
      </c>
      <c r="C314" t="s">
        <v>1108</v>
      </c>
    </row>
    <row r="315" spans="1:3" x14ac:dyDescent="0.3">
      <c r="A315" t="s">
        <v>936</v>
      </c>
      <c r="B315" t="s">
        <v>973</v>
      </c>
      <c r="C315" t="s">
        <v>1096</v>
      </c>
    </row>
    <row r="316" spans="1:3" x14ac:dyDescent="0.3">
      <c r="A316" t="s">
        <v>236</v>
      </c>
      <c r="B316" t="s">
        <v>968</v>
      </c>
      <c r="C316" t="s">
        <v>1103</v>
      </c>
    </row>
    <row r="317" spans="1:3" x14ac:dyDescent="0.3">
      <c r="A317" t="s">
        <v>238</v>
      </c>
      <c r="B317" t="s">
        <v>981</v>
      </c>
      <c r="C317" t="s">
        <v>982</v>
      </c>
    </row>
    <row r="318" spans="1:3" x14ac:dyDescent="0.3">
      <c r="A318" t="s">
        <v>721</v>
      </c>
      <c r="B318" t="s">
        <v>971</v>
      </c>
      <c r="C318" t="s">
        <v>1095</v>
      </c>
    </row>
    <row r="319" spans="1:3" x14ac:dyDescent="0.3">
      <c r="A319" t="s">
        <v>300</v>
      </c>
      <c r="B319" t="s">
        <v>991</v>
      </c>
      <c r="C319" t="s">
        <v>995</v>
      </c>
    </row>
    <row r="320" spans="1:3" x14ac:dyDescent="0.3">
      <c r="A320" t="s">
        <v>364</v>
      </c>
      <c r="B320" t="s">
        <v>973</v>
      </c>
      <c r="C320" t="s">
        <v>1088</v>
      </c>
    </row>
    <row r="321" spans="1:3" x14ac:dyDescent="0.3">
      <c r="A321" t="s">
        <v>184</v>
      </c>
      <c r="B321" t="s">
        <v>968</v>
      </c>
      <c r="C321" t="s">
        <v>1087</v>
      </c>
    </row>
    <row r="322" spans="1:3" x14ac:dyDescent="0.3">
      <c r="A322" t="s">
        <v>570</v>
      </c>
      <c r="B322" t="s">
        <v>991</v>
      </c>
      <c r="C322" t="s">
        <v>1114</v>
      </c>
    </row>
    <row r="323" spans="1:3" x14ac:dyDescent="0.3">
      <c r="A323" t="s">
        <v>621</v>
      </c>
      <c r="B323" t="s">
        <v>968</v>
      </c>
      <c r="C323" t="s">
        <v>1153</v>
      </c>
    </row>
    <row r="324" spans="1:3" x14ac:dyDescent="0.3">
      <c r="A324" t="s">
        <v>344</v>
      </c>
      <c r="B324" t="s">
        <v>981</v>
      </c>
      <c r="C324" t="s">
        <v>1128</v>
      </c>
    </row>
    <row r="325" spans="1:3" x14ac:dyDescent="0.3">
      <c r="A325" t="s">
        <v>842</v>
      </c>
      <c r="B325" t="s">
        <v>981</v>
      </c>
      <c r="C325" t="s">
        <v>1108</v>
      </c>
    </row>
    <row r="326" spans="1:3" x14ac:dyDescent="0.3">
      <c r="A326" t="s">
        <v>59</v>
      </c>
      <c r="B326" t="s">
        <v>975</v>
      </c>
      <c r="C326" t="s">
        <v>1013</v>
      </c>
    </row>
    <row r="327" spans="1:3" x14ac:dyDescent="0.3">
      <c r="A327" t="s">
        <v>521</v>
      </c>
      <c r="B327" t="s">
        <v>973</v>
      </c>
      <c r="C327" t="s">
        <v>1088</v>
      </c>
    </row>
    <row r="328" spans="1:3" x14ac:dyDescent="0.3">
      <c r="A328" t="s">
        <v>838</v>
      </c>
      <c r="B328" t="s">
        <v>973</v>
      </c>
      <c r="C328" t="s">
        <v>1083</v>
      </c>
    </row>
    <row r="329" spans="1:3" x14ac:dyDescent="0.3">
      <c r="A329" t="s">
        <v>945</v>
      </c>
      <c r="B329" t="s">
        <v>991</v>
      </c>
      <c r="C329" t="s">
        <v>996</v>
      </c>
    </row>
    <row r="330" spans="1:3" x14ac:dyDescent="0.3">
      <c r="A330" t="s">
        <v>338</v>
      </c>
      <c r="B330" t="s">
        <v>968</v>
      </c>
      <c r="C330" t="s">
        <v>1094</v>
      </c>
    </row>
    <row r="331" spans="1:3" x14ac:dyDescent="0.3">
      <c r="A331" t="s">
        <v>950</v>
      </c>
      <c r="B331" t="s">
        <v>971</v>
      </c>
      <c r="C331" t="s">
        <v>980</v>
      </c>
    </row>
    <row r="332" spans="1:3" x14ac:dyDescent="0.3">
      <c r="A332" t="s">
        <v>567</v>
      </c>
      <c r="B332" t="s">
        <v>968</v>
      </c>
      <c r="C332" t="s">
        <v>1000</v>
      </c>
    </row>
    <row r="333" spans="1:3" x14ac:dyDescent="0.3">
      <c r="A333" t="s">
        <v>826</v>
      </c>
      <c r="B333" t="s">
        <v>971</v>
      </c>
      <c r="C333" t="s">
        <v>1113</v>
      </c>
    </row>
    <row r="334" spans="1:3" x14ac:dyDescent="0.3">
      <c r="A334" t="s">
        <v>684</v>
      </c>
      <c r="B334" t="s">
        <v>973</v>
      </c>
      <c r="C334" t="s">
        <v>1061</v>
      </c>
    </row>
    <row r="335" spans="1:3" x14ac:dyDescent="0.3">
      <c r="A335" t="s">
        <v>186</v>
      </c>
      <c r="B335" t="s">
        <v>973</v>
      </c>
      <c r="C335" t="s">
        <v>1063</v>
      </c>
    </row>
    <row r="336" spans="1:3" x14ac:dyDescent="0.3">
      <c r="A336" t="s">
        <v>308</v>
      </c>
      <c r="B336" t="s">
        <v>991</v>
      </c>
      <c r="C336" t="s">
        <v>1024</v>
      </c>
    </row>
    <row r="337" spans="1:3" x14ac:dyDescent="0.3">
      <c r="A337" t="s">
        <v>286</v>
      </c>
      <c r="B337" t="s">
        <v>973</v>
      </c>
      <c r="C337" t="s">
        <v>1120</v>
      </c>
    </row>
    <row r="338" spans="1:3" x14ac:dyDescent="0.3">
      <c r="A338" t="s">
        <v>38</v>
      </c>
      <c r="B338" t="s">
        <v>991</v>
      </c>
      <c r="C338" t="s">
        <v>996</v>
      </c>
    </row>
    <row r="339" spans="1:3" x14ac:dyDescent="0.3">
      <c r="A339" t="s">
        <v>618</v>
      </c>
      <c r="B339" t="s">
        <v>971</v>
      </c>
      <c r="C339" t="s">
        <v>1045</v>
      </c>
    </row>
    <row r="340" spans="1:3" x14ac:dyDescent="0.3">
      <c r="A340" t="s">
        <v>337</v>
      </c>
      <c r="B340" t="s">
        <v>973</v>
      </c>
      <c r="C340" t="s">
        <v>1030</v>
      </c>
    </row>
    <row r="341" spans="1:3" x14ac:dyDescent="0.3">
      <c r="A341" t="s">
        <v>604</v>
      </c>
      <c r="B341" t="s">
        <v>973</v>
      </c>
      <c r="C341" t="s">
        <v>1009</v>
      </c>
    </row>
    <row r="342" spans="1:3" x14ac:dyDescent="0.3">
      <c r="A342" t="s">
        <v>907</v>
      </c>
      <c r="B342" t="s">
        <v>968</v>
      </c>
      <c r="C342" t="s">
        <v>1105</v>
      </c>
    </row>
    <row r="343" spans="1:3" x14ac:dyDescent="0.3">
      <c r="A343" t="s">
        <v>722</v>
      </c>
      <c r="B343" t="s">
        <v>973</v>
      </c>
      <c r="C343" t="s">
        <v>1112</v>
      </c>
    </row>
    <row r="344" spans="1:3" x14ac:dyDescent="0.3">
      <c r="A344" t="s">
        <v>131</v>
      </c>
      <c r="B344" t="s">
        <v>991</v>
      </c>
      <c r="C344" t="s">
        <v>1059</v>
      </c>
    </row>
    <row r="345" spans="1:3" x14ac:dyDescent="0.3">
      <c r="A345" t="s">
        <v>398</v>
      </c>
      <c r="B345" t="s">
        <v>971</v>
      </c>
      <c r="C345" t="s">
        <v>1001</v>
      </c>
    </row>
    <row r="346" spans="1:3" x14ac:dyDescent="0.3">
      <c r="A346" t="s">
        <v>535</v>
      </c>
      <c r="B346" t="s">
        <v>973</v>
      </c>
      <c r="C346" t="s">
        <v>994</v>
      </c>
    </row>
    <row r="347" spans="1:3" x14ac:dyDescent="0.3">
      <c r="A347" t="s">
        <v>125</v>
      </c>
      <c r="B347" t="s">
        <v>968</v>
      </c>
      <c r="C347" t="s">
        <v>1057</v>
      </c>
    </row>
    <row r="348" spans="1:3" x14ac:dyDescent="0.3">
      <c r="A348" t="s">
        <v>614</v>
      </c>
      <c r="B348" t="s">
        <v>991</v>
      </c>
      <c r="C348" t="s">
        <v>1005</v>
      </c>
    </row>
    <row r="349" spans="1:3" x14ac:dyDescent="0.3">
      <c r="A349" t="s">
        <v>315</v>
      </c>
      <c r="B349" t="s">
        <v>973</v>
      </c>
      <c r="C349" t="s">
        <v>1055</v>
      </c>
    </row>
    <row r="350" spans="1:3" x14ac:dyDescent="0.3">
      <c r="A350" t="s">
        <v>647</v>
      </c>
      <c r="B350" t="s">
        <v>991</v>
      </c>
      <c r="C350" t="s">
        <v>1068</v>
      </c>
    </row>
    <row r="351" spans="1:3" x14ac:dyDescent="0.3">
      <c r="A351" t="s">
        <v>441</v>
      </c>
      <c r="B351" t="s">
        <v>968</v>
      </c>
      <c r="C351" t="s">
        <v>1138</v>
      </c>
    </row>
    <row r="352" spans="1:3" x14ac:dyDescent="0.3">
      <c r="A352" t="s">
        <v>865</v>
      </c>
      <c r="B352" t="s">
        <v>968</v>
      </c>
      <c r="C352" t="s">
        <v>1119</v>
      </c>
    </row>
    <row r="353" spans="1:3" x14ac:dyDescent="0.3">
      <c r="A353" t="s">
        <v>111</v>
      </c>
      <c r="B353" t="s">
        <v>991</v>
      </c>
      <c r="C353" t="s">
        <v>1049</v>
      </c>
    </row>
    <row r="354" spans="1:3" x14ac:dyDescent="0.3">
      <c r="A354" t="s">
        <v>309</v>
      </c>
      <c r="B354" t="s">
        <v>971</v>
      </c>
      <c r="C354" t="s">
        <v>1037</v>
      </c>
    </row>
    <row r="355" spans="1:3" x14ac:dyDescent="0.3">
      <c r="A355" t="s">
        <v>757</v>
      </c>
      <c r="B355" t="s">
        <v>975</v>
      </c>
      <c r="C355" t="s">
        <v>1044</v>
      </c>
    </row>
    <row r="356" spans="1:3" x14ac:dyDescent="0.3">
      <c r="A356" t="s">
        <v>107</v>
      </c>
      <c r="B356" t="s">
        <v>968</v>
      </c>
      <c r="C356" t="s">
        <v>1046</v>
      </c>
    </row>
    <row r="357" spans="1:3" x14ac:dyDescent="0.3">
      <c r="A357" t="s">
        <v>105</v>
      </c>
      <c r="B357" t="s">
        <v>991</v>
      </c>
      <c r="C357" t="s">
        <v>1008</v>
      </c>
    </row>
    <row r="358" spans="1:3" x14ac:dyDescent="0.3">
      <c r="A358" t="s">
        <v>503</v>
      </c>
      <c r="B358" t="s">
        <v>973</v>
      </c>
      <c r="C358" t="s">
        <v>983</v>
      </c>
    </row>
    <row r="359" spans="1:3" x14ac:dyDescent="0.3">
      <c r="A359" t="s">
        <v>28</v>
      </c>
      <c r="B359" t="s">
        <v>973</v>
      </c>
      <c r="C359" t="s">
        <v>985</v>
      </c>
    </row>
    <row r="360" spans="1:3" x14ac:dyDescent="0.3">
      <c r="A360" t="s">
        <v>924</v>
      </c>
      <c r="B360" t="s">
        <v>968</v>
      </c>
      <c r="C360" t="s">
        <v>1099</v>
      </c>
    </row>
    <row r="361" spans="1:3" x14ac:dyDescent="0.3">
      <c r="A361" t="s">
        <v>454</v>
      </c>
      <c r="B361" t="s">
        <v>968</v>
      </c>
      <c r="C361" t="s">
        <v>1099</v>
      </c>
    </row>
    <row r="362" spans="1:3" x14ac:dyDescent="0.3">
      <c r="A362" t="s">
        <v>120</v>
      </c>
      <c r="B362" t="s">
        <v>973</v>
      </c>
      <c r="C362" t="s">
        <v>1018</v>
      </c>
    </row>
    <row r="363" spans="1:3" x14ac:dyDescent="0.3">
      <c r="A363" t="s">
        <v>63</v>
      </c>
      <c r="B363" t="s">
        <v>971</v>
      </c>
      <c r="C363" t="s">
        <v>1016</v>
      </c>
    </row>
    <row r="364" spans="1:3" x14ac:dyDescent="0.3">
      <c r="A364" t="s">
        <v>962</v>
      </c>
      <c r="B364" t="s">
        <v>991</v>
      </c>
      <c r="C364" t="s">
        <v>1035</v>
      </c>
    </row>
    <row r="365" spans="1:3" x14ac:dyDescent="0.3">
      <c r="A365" t="s">
        <v>704</v>
      </c>
      <c r="B365" t="s">
        <v>975</v>
      </c>
      <c r="C365" t="s">
        <v>1056</v>
      </c>
    </row>
    <row r="366" spans="1:3" x14ac:dyDescent="0.3">
      <c r="A366" t="s">
        <v>870</v>
      </c>
      <c r="B366" t="s">
        <v>968</v>
      </c>
      <c r="C366" t="s">
        <v>1040</v>
      </c>
    </row>
    <row r="367" spans="1:3" x14ac:dyDescent="0.3">
      <c r="A367" t="s">
        <v>73</v>
      </c>
      <c r="B367" t="s">
        <v>968</v>
      </c>
      <c r="C367" t="s">
        <v>1023</v>
      </c>
    </row>
    <row r="368" spans="1:3" x14ac:dyDescent="0.3">
      <c r="A368" t="s">
        <v>514</v>
      </c>
      <c r="B368" t="s">
        <v>991</v>
      </c>
      <c r="C368" t="s">
        <v>1034</v>
      </c>
    </row>
    <row r="369" spans="1:3" x14ac:dyDescent="0.3">
      <c r="A369" t="s">
        <v>720</v>
      </c>
      <c r="B369" t="s">
        <v>973</v>
      </c>
      <c r="C369" t="s">
        <v>987</v>
      </c>
    </row>
    <row r="370" spans="1:3" x14ac:dyDescent="0.3">
      <c r="A370" t="s">
        <v>239</v>
      </c>
      <c r="B370" t="s">
        <v>973</v>
      </c>
      <c r="C370" t="s">
        <v>1104</v>
      </c>
    </row>
    <row r="371" spans="1:3" x14ac:dyDescent="0.3">
      <c r="A371" t="s">
        <v>606</v>
      </c>
      <c r="B371" t="s">
        <v>973</v>
      </c>
      <c r="C371" t="s">
        <v>1058</v>
      </c>
    </row>
    <row r="372" spans="1:3" x14ac:dyDescent="0.3">
      <c r="A372" t="s">
        <v>197</v>
      </c>
      <c r="B372" t="s">
        <v>973</v>
      </c>
      <c r="C372" t="s">
        <v>1020</v>
      </c>
    </row>
    <row r="373" spans="1:3" x14ac:dyDescent="0.3">
      <c r="A373" t="s">
        <v>724</v>
      </c>
      <c r="B373" t="s">
        <v>968</v>
      </c>
      <c r="C373" t="s">
        <v>1046</v>
      </c>
    </row>
    <row r="374" spans="1:3" x14ac:dyDescent="0.3">
      <c r="A374" t="s">
        <v>451</v>
      </c>
      <c r="B374" t="s">
        <v>973</v>
      </c>
      <c r="C374" t="s">
        <v>983</v>
      </c>
    </row>
    <row r="375" spans="1:3" x14ac:dyDescent="0.3">
      <c r="A375" t="s">
        <v>765</v>
      </c>
      <c r="B375" t="s">
        <v>975</v>
      </c>
      <c r="C375" t="s">
        <v>1115</v>
      </c>
    </row>
    <row r="376" spans="1:3" x14ac:dyDescent="0.3">
      <c r="A376" t="s">
        <v>176</v>
      </c>
      <c r="B376" t="s">
        <v>973</v>
      </c>
      <c r="C376" t="s">
        <v>1083</v>
      </c>
    </row>
    <row r="377" spans="1:3" x14ac:dyDescent="0.3">
      <c r="A377" t="s">
        <v>267</v>
      </c>
      <c r="B377" t="s">
        <v>975</v>
      </c>
      <c r="C377" t="s">
        <v>1115</v>
      </c>
    </row>
    <row r="378" spans="1:3" x14ac:dyDescent="0.3">
      <c r="A378" t="s">
        <v>692</v>
      </c>
      <c r="B378" t="s">
        <v>981</v>
      </c>
      <c r="C378" t="s">
        <v>1077</v>
      </c>
    </row>
    <row r="379" spans="1:3" x14ac:dyDescent="0.3">
      <c r="A379" t="s">
        <v>326</v>
      </c>
      <c r="B379" t="s">
        <v>991</v>
      </c>
      <c r="C379" t="s">
        <v>996</v>
      </c>
    </row>
    <row r="380" spans="1:3" x14ac:dyDescent="0.3">
      <c r="A380" t="s">
        <v>436</v>
      </c>
      <c r="B380" t="s">
        <v>971</v>
      </c>
      <c r="C380" t="s">
        <v>1113</v>
      </c>
    </row>
    <row r="381" spans="1:3" x14ac:dyDescent="0.3">
      <c r="A381" t="s">
        <v>244</v>
      </c>
      <c r="B381" t="s">
        <v>991</v>
      </c>
      <c r="C381" t="s">
        <v>996</v>
      </c>
    </row>
    <row r="382" spans="1:3" x14ac:dyDescent="0.3">
      <c r="A382" t="s">
        <v>743</v>
      </c>
      <c r="B382" t="s">
        <v>973</v>
      </c>
      <c r="C382" t="s">
        <v>1082</v>
      </c>
    </row>
    <row r="383" spans="1:3" x14ac:dyDescent="0.3">
      <c r="A383" t="s">
        <v>768</v>
      </c>
      <c r="B383" t="s">
        <v>973</v>
      </c>
      <c r="C383" t="s">
        <v>998</v>
      </c>
    </row>
    <row r="384" spans="1:3" x14ac:dyDescent="0.3">
      <c r="A384" t="s">
        <v>468</v>
      </c>
      <c r="B384" t="s">
        <v>973</v>
      </c>
      <c r="C384" t="s">
        <v>1141</v>
      </c>
    </row>
    <row r="385" spans="1:3" x14ac:dyDescent="0.3">
      <c r="A385" t="s">
        <v>384</v>
      </c>
      <c r="B385" t="s">
        <v>973</v>
      </c>
      <c r="C385" t="s">
        <v>1083</v>
      </c>
    </row>
    <row r="386" spans="1:3" x14ac:dyDescent="0.3">
      <c r="A386" t="s">
        <v>686</v>
      </c>
      <c r="B386" t="s">
        <v>973</v>
      </c>
      <c r="C386" t="s">
        <v>1063</v>
      </c>
    </row>
    <row r="387" spans="1:3" x14ac:dyDescent="0.3">
      <c r="A387" t="s">
        <v>36</v>
      </c>
      <c r="B387" t="s">
        <v>973</v>
      </c>
      <c r="C387" t="s">
        <v>994</v>
      </c>
    </row>
    <row r="388" spans="1:3" x14ac:dyDescent="0.3">
      <c r="A388" t="s">
        <v>729</v>
      </c>
      <c r="B388" t="s">
        <v>968</v>
      </c>
      <c r="C388" t="s">
        <v>969</v>
      </c>
    </row>
    <row r="389" spans="1:3" x14ac:dyDescent="0.3">
      <c r="A389" t="s">
        <v>458</v>
      </c>
      <c r="B389" t="s">
        <v>968</v>
      </c>
      <c r="C389" t="s">
        <v>1057</v>
      </c>
    </row>
    <row r="390" spans="1:3" x14ac:dyDescent="0.3">
      <c r="A390" t="s">
        <v>744</v>
      </c>
      <c r="B390" t="s">
        <v>968</v>
      </c>
      <c r="C390" t="s">
        <v>1127</v>
      </c>
    </row>
    <row r="391" spans="1:3" x14ac:dyDescent="0.3">
      <c r="A391" t="s">
        <v>574</v>
      </c>
      <c r="B391" t="s">
        <v>968</v>
      </c>
      <c r="C391" t="s">
        <v>1052</v>
      </c>
    </row>
    <row r="392" spans="1:3" x14ac:dyDescent="0.3">
      <c r="A392" t="s">
        <v>276</v>
      </c>
      <c r="B392" t="s">
        <v>991</v>
      </c>
      <c r="C392" t="s">
        <v>1117</v>
      </c>
    </row>
    <row r="393" spans="1:3" x14ac:dyDescent="0.3">
      <c r="A393" t="s">
        <v>264</v>
      </c>
      <c r="B393" t="s">
        <v>968</v>
      </c>
      <c r="C393" t="s">
        <v>1036</v>
      </c>
    </row>
    <row r="394" spans="1:3" x14ac:dyDescent="0.3">
      <c r="A394" t="s">
        <v>549</v>
      </c>
      <c r="B394" t="s">
        <v>973</v>
      </c>
      <c r="C394" t="s">
        <v>1025</v>
      </c>
    </row>
    <row r="395" spans="1:3" x14ac:dyDescent="0.3">
      <c r="A395" t="s">
        <v>277</v>
      </c>
      <c r="B395" t="s">
        <v>973</v>
      </c>
      <c r="C395" t="s">
        <v>1090</v>
      </c>
    </row>
    <row r="396" spans="1:3" x14ac:dyDescent="0.3">
      <c r="A396" t="s">
        <v>654</v>
      </c>
      <c r="B396" t="s">
        <v>968</v>
      </c>
      <c r="C396" t="s">
        <v>1021</v>
      </c>
    </row>
    <row r="397" spans="1:3" x14ac:dyDescent="0.3">
      <c r="A397" t="s">
        <v>775</v>
      </c>
      <c r="B397" t="s">
        <v>973</v>
      </c>
      <c r="C397" t="s">
        <v>1090</v>
      </c>
    </row>
    <row r="398" spans="1:3" x14ac:dyDescent="0.3">
      <c r="A398" t="s">
        <v>399</v>
      </c>
      <c r="B398" t="s">
        <v>973</v>
      </c>
      <c r="C398" t="s">
        <v>1025</v>
      </c>
    </row>
    <row r="399" spans="1:3" x14ac:dyDescent="0.3">
      <c r="A399" t="s">
        <v>544</v>
      </c>
      <c r="B399" t="s">
        <v>968</v>
      </c>
      <c r="C399" t="s">
        <v>1039</v>
      </c>
    </row>
    <row r="400" spans="1:3" x14ac:dyDescent="0.3">
      <c r="A400" t="s">
        <v>40</v>
      </c>
      <c r="B400" t="s">
        <v>973</v>
      </c>
      <c r="C400" t="s">
        <v>998</v>
      </c>
    </row>
    <row r="401" spans="1:3" x14ac:dyDescent="0.3">
      <c r="A401" t="s">
        <v>499</v>
      </c>
      <c r="B401" t="s">
        <v>975</v>
      </c>
      <c r="C401" t="s">
        <v>1029</v>
      </c>
    </row>
    <row r="402" spans="1:3" x14ac:dyDescent="0.3">
      <c r="A402" t="s">
        <v>415</v>
      </c>
      <c r="B402" t="s">
        <v>973</v>
      </c>
      <c r="C402" t="s">
        <v>1072</v>
      </c>
    </row>
    <row r="403" spans="1:3" x14ac:dyDescent="0.3">
      <c r="A403" t="s">
        <v>50</v>
      </c>
      <c r="B403" t="s">
        <v>991</v>
      </c>
      <c r="C403" t="s">
        <v>1005</v>
      </c>
    </row>
    <row r="404" spans="1:3" x14ac:dyDescent="0.3">
      <c r="A404" t="s">
        <v>395</v>
      </c>
      <c r="B404" t="s">
        <v>991</v>
      </c>
      <c r="C404" t="s">
        <v>996</v>
      </c>
    </row>
    <row r="405" spans="1:3" x14ac:dyDescent="0.3">
      <c r="A405" t="s">
        <v>469</v>
      </c>
      <c r="B405" t="s">
        <v>991</v>
      </c>
      <c r="C405" t="s">
        <v>1005</v>
      </c>
    </row>
    <row r="406" spans="1:3" x14ac:dyDescent="0.3">
      <c r="A406" t="s">
        <v>619</v>
      </c>
      <c r="B406" t="s">
        <v>973</v>
      </c>
      <c r="C406" t="s">
        <v>994</v>
      </c>
    </row>
    <row r="407" spans="1:3" x14ac:dyDescent="0.3">
      <c r="A407" t="s">
        <v>77</v>
      </c>
      <c r="B407" t="s">
        <v>991</v>
      </c>
      <c r="C407" t="s">
        <v>1027</v>
      </c>
    </row>
    <row r="408" spans="1:3" x14ac:dyDescent="0.3">
      <c r="A408" t="s">
        <v>205</v>
      </c>
      <c r="B408" t="s">
        <v>975</v>
      </c>
      <c r="C408" t="s">
        <v>1014</v>
      </c>
    </row>
    <row r="409" spans="1:3" x14ac:dyDescent="0.3">
      <c r="A409" t="s">
        <v>895</v>
      </c>
      <c r="B409" t="s">
        <v>981</v>
      </c>
      <c r="C409" t="s">
        <v>1108</v>
      </c>
    </row>
    <row r="410" spans="1:3" x14ac:dyDescent="0.3">
      <c r="A410" t="s">
        <v>49</v>
      </c>
      <c r="B410" t="s">
        <v>973</v>
      </c>
      <c r="C410" t="s">
        <v>1004</v>
      </c>
    </row>
    <row r="411" spans="1:3" x14ac:dyDescent="0.3">
      <c r="A411" t="s">
        <v>108</v>
      </c>
      <c r="B411" t="s">
        <v>973</v>
      </c>
      <c r="C411" t="s">
        <v>1047</v>
      </c>
    </row>
    <row r="412" spans="1:3" x14ac:dyDescent="0.3">
      <c r="A412" t="s">
        <v>123</v>
      </c>
      <c r="B412" t="s">
        <v>975</v>
      </c>
      <c r="C412" t="s">
        <v>1019</v>
      </c>
    </row>
    <row r="413" spans="1:3" x14ac:dyDescent="0.3">
      <c r="A413" t="s">
        <v>175</v>
      </c>
      <c r="B413" t="s">
        <v>973</v>
      </c>
      <c r="C413" t="s">
        <v>1082</v>
      </c>
    </row>
    <row r="414" spans="1:3" x14ac:dyDescent="0.3">
      <c r="A414" t="s">
        <v>30</v>
      </c>
      <c r="B414" t="s">
        <v>973</v>
      </c>
      <c r="C414" t="s">
        <v>987</v>
      </c>
    </row>
    <row r="415" spans="1:3" x14ac:dyDescent="0.3">
      <c r="A415" t="s">
        <v>116</v>
      </c>
      <c r="B415" t="s">
        <v>968</v>
      </c>
      <c r="C415" t="s">
        <v>1051</v>
      </c>
    </row>
    <row r="416" spans="1:3" x14ac:dyDescent="0.3">
      <c r="A416" t="s">
        <v>898</v>
      </c>
      <c r="B416" t="s">
        <v>968</v>
      </c>
      <c r="C416" t="s">
        <v>1123</v>
      </c>
    </row>
    <row r="417" spans="1:3" x14ac:dyDescent="0.3">
      <c r="A417" t="s">
        <v>852</v>
      </c>
      <c r="B417" t="s">
        <v>973</v>
      </c>
      <c r="C417" t="s">
        <v>1075</v>
      </c>
    </row>
    <row r="418" spans="1:3" x14ac:dyDescent="0.3">
      <c r="A418" t="s">
        <v>592</v>
      </c>
      <c r="B418" t="s">
        <v>973</v>
      </c>
      <c r="C418" t="s">
        <v>1084</v>
      </c>
    </row>
    <row r="419" spans="1:3" x14ac:dyDescent="0.3">
      <c r="A419" t="s">
        <v>815</v>
      </c>
      <c r="B419" t="s">
        <v>991</v>
      </c>
      <c r="C419" t="s">
        <v>1111</v>
      </c>
    </row>
    <row r="420" spans="1:3" x14ac:dyDescent="0.3">
      <c r="A420" t="s">
        <v>268</v>
      </c>
      <c r="B420" t="s">
        <v>968</v>
      </c>
      <c r="C420" t="s">
        <v>1040</v>
      </c>
    </row>
    <row r="421" spans="1:3" x14ac:dyDescent="0.3">
      <c r="A421" t="s">
        <v>459</v>
      </c>
      <c r="B421" t="s">
        <v>973</v>
      </c>
      <c r="C421" t="s">
        <v>1055</v>
      </c>
    </row>
    <row r="422" spans="1:3" x14ac:dyDescent="0.3">
      <c r="A422" t="s">
        <v>486</v>
      </c>
      <c r="B422" t="s">
        <v>968</v>
      </c>
      <c r="C422" t="s">
        <v>1043</v>
      </c>
    </row>
    <row r="423" spans="1:3" x14ac:dyDescent="0.3">
      <c r="A423" t="s">
        <v>675</v>
      </c>
      <c r="B423" t="s">
        <v>973</v>
      </c>
      <c r="C423" t="s">
        <v>1122</v>
      </c>
    </row>
    <row r="424" spans="1:3" x14ac:dyDescent="0.3">
      <c r="A424" t="s">
        <v>256</v>
      </c>
      <c r="B424" t="s">
        <v>973</v>
      </c>
      <c r="C424" t="s">
        <v>983</v>
      </c>
    </row>
    <row r="425" spans="1:3" x14ac:dyDescent="0.3">
      <c r="A425" t="s">
        <v>892</v>
      </c>
      <c r="B425" t="s">
        <v>973</v>
      </c>
      <c r="C425" t="s">
        <v>1078</v>
      </c>
    </row>
    <row r="426" spans="1:3" x14ac:dyDescent="0.3">
      <c r="A426" t="s">
        <v>163</v>
      </c>
      <c r="B426" t="s">
        <v>981</v>
      </c>
      <c r="C426" t="s">
        <v>1077</v>
      </c>
    </row>
    <row r="427" spans="1:3" x14ac:dyDescent="0.3">
      <c r="A427" t="s">
        <v>587</v>
      </c>
      <c r="B427" t="s">
        <v>973</v>
      </c>
      <c r="C427" t="s">
        <v>1084</v>
      </c>
    </row>
    <row r="428" spans="1:3" x14ac:dyDescent="0.3">
      <c r="A428" t="s">
        <v>867</v>
      </c>
      <c r="B428" t="s">
        <v>968</v>
      </c>
      <c r="C428" t="s">
        <v>1127</v>
      </c>
    </row>
    <row r="429" spans="1:3" x14ac:dyDescent="0.3">
      <c r="A429" t="s">
        <v>776</v>
      </c>
      <c r="B429" t="s">
        <v>968</v>
      </c>
      <c r="C429" t="s">
        <v>1145</v>
      </c>
    </row>
    <row r="430" spans="1:3" x14ac:dyDescent="0.3">
      <c r="A430" t="s">
        <v>872</v>
      </c>
      <c r="B430" t="s">
        <v>991</v>
      </c>
      <c r="C430" t="s">
        <v>1155</v>
      </c>
    </row>
    <row r="431" spans="1:3" x14ac:dyDescent="0.3">
      <c r="A431" t="s">
        <v>566</v>
      </c>
      <c r="B431" t="s">
        <v>991</v>
      </c>
      <c r="C431" t="s">
        <v>1007</v>
      </c>
    </row>
    <row r="432" spans="1:3" x14ac:dyDescent="0.3">
      <c r="A432" t="s">
        <v>65</v>
      </c>
      <c r="B432" t="s">
        <v>973</v>
      </c>
      <c r="C432" t="s">
        <v>998</v>
      </c>
    </row>
    <row r="433" spans="1:3" x14ac:dyDescent="0.3">
      <c r="A433" t="s">
        <v>762</v>
      </c>
      <c r="B433" t="s">
        <v>973</v>
      </c>
      <c r="C433" t="s">
        <v>1154</v>
      </c>
    </row>
    <row r="434" spans="1:3" x14ac:dyDescent="0.3">
      <c r="A434" t="s">
        <v>392</v>
      </c>
      <c r="B434" t="s">
        <v>991</v>
      </c>
      <c r="C434" t="s">
        <v>1074</v>
      </c>
    </row>
    <row r="435" spans="1:3" x14ac:dyDescent="0.3">
      <c r="A435" t="s">
        <v>396</v>
      </c>
      <c r="B435" t="s">
        <v>991</v>
      </c>
      <c r="C435" t="s">
        <v>1098</v>
      </c>
    </row>
    <row r="436" spans="1:3" x14ac:dyDescent="0.3">
      <c r="A436" t="s">
        <v>778</v>
      </c>
      <c r="B436" t="s">
        <v>968</v>
      </c>
      <c r="C436" t="s">
        <v>1052</v>
      </c>
    </row>
    <row r="437" spans="1:3" x14ac:dyDescent="0.3">
      <c r="A437" t="s">
        <v>93</v>
      </c>
      <c r="B437" t="s">
        <v>968</v>
      </c>
      <c r="C437" t="s">
        <v>1038</v>
      </c>
    </row>
    <row r="438" spans="1:3" x14ac:dyDescent="0.3">
      <c r="A438" t="s">
        <v>607</v>
      </c>
      <c r="B438" t="s">
        <v>968</v>
      </c>
      <c r="C438" t="s">
        <v>1032</v>
      </c>
    </row>
    <row r="439" spans="1:3" x14ac:dyDescent="0.3">
      <c r="A439" t="s">
        <v>20</v>
      </c>
      <c r="B439" t="s">
        <v>975</v>
      </c>
      <c r="C439" t="s">
        <v>977</v>
      </c>
    </row>
    <row r="440" spans="1:3" x14ac:dyDescent="0.3">
      <c r="A440" t="s">
        <v>875</v>
      </c>
      <c r="B440" t="s">
        <v>975</v>
      </c>
      <c r="C440" t="s">
        <v>1056</v>
      </c>
    </row>
    <row r="441" spans="1:3" x14ac:dyDescent="0.3">
      <c r="A441" t="s">
        <v>737</v>
      </c>
      <c r="B441" t="s">
        <v>973</v>
      </c>
      <c r="C441" t="s">
        <v>1106</v>
      </c>
    </row>
    <row r="442" spans="1:3" x14ac:dyDescent="0.3">
      <c r="A442" t="s">
        <v>27</v>
      </c>
      <c r="B442" t="s">
        <v>973</v>
      </c>
      <c r="C442" t="s">
        <v>984</v>
      </c>
    </row>
    <row r="443" spans="1:3" x14ac:dyDescent="0.3">
      <c r="A443" t="s">
        <v>550</v>
      </c>
      <c r="B443" t="s">
        <v>973</v>
      </c>
      <c r="C443" t="s">
        <v>1011</v>
      </c>
    </row>
    <row r="444" spans="1:3" x14ac:dyDescent="0.3">
      <c r="A444" t="s">
        <v>228</v>
      </c>
      <c r="B444" t="s">
        <v>975</v>
      </c>
      <c r="C444" t="s">
        <v>1029</v>
      </c>
    </row>
    <row r="445" spans="1:3" x14ac:dyDescent="0.3">
      <c r="A445" t="s">
        <v>498</v>
      </c>
      <c r="B445" t="s">
        <v>975</v>
      </c>
      <c r="C445" t="s">
        <v>1142</v>
      </c>
    </row>
    <row r="446" spans="1:3" x14ac:dyDescent="0.3">
      <c r="A446" t="s">
        <v>603</v>
      </c>
      <c r="B446" t="s">
        <v>971</v>
      </c>
      <c r="C446" t="s">
        <v>1089</v>
      </c>
    </row>
    <row r="447" spans="1:3" x14ac:dyDescent="0.3">
      <c r="A447" t="s">
        <v>509</v>
      </c>
      <c r="B447" t="s">
        <v>968</v>
      </c>
      <c r="C447" t="s">
        <v>1097</v>
      </c>
    </row>
    <row r="448" spans="1:3" x14ac:dyDescent="0.3">
      <c r="A448" t="s">
        <v>709</v>
      </c>
      <c r="B448" t="s">
        <v>973</v>
      </c>
      <c r="C448" t="s">
        <v>1141</v>
      </c>
    </row>
    <row r="449" spans="1:3" x14ac:dyDescent="0.3">
      <c r="A449" t="s">
        <v>484</v>
      </c>
      <c r="B449" t="s">
        <v>973</v>
      </c>
      <c r="C449" t="s">
        <v>979</v>
      </c>
    </row>
    <row r="450" spans="1:3" x14ac:dyDescent="0.3">
      <c r="A450" t="s">
        <v>948</v>
      </c>
      <c r="B450" t="s">
        <v>968</v>
      </c>
      <c r="C450" t="s">
        <v>1022</v>
      </c>
    </row>
    <row r="451" spans="1:3" x14ac:dyDescent="0.3">
      <c r="A451" t="s">
        <v>493</v>
      </c>
      <c r="B451" t="s">
        <v>968</v>
      </c>
      <c r="C451" t="s">
        <v>1038</v>
      </c>
    </row>
    <row r="452" spans="1:3" x14ac:dyDescent="0.3">
      <c r="A452" t="s">
        <v>740</v>
      </c>
      <c r="B452" t="s">
        <v>968</v>
      </c>
      <c r="C452" t="s">
        <v>1156</v>
      </c>
    </row>
    <row r="453" spans="1:3" x14ac:dyDescent="0.3">
      <c r="A453" t="s">
        <v>608</v>
      </c>
      <c r="B453" t="s">
        <v>968</v>
      </c>
      <c r="C453" t="s">
        <v>1052</v>
      </c>
    </row>
    <row r="454" spans="1:3" x14ac:dyDescent="0.3">
      <c r="A454" t="s">
        <v>434</v>
      </c>
      <c r="B454" t="s">
        <v>968</v>
      </c>
      <c r="C454" t="s">
        <v>1057</v>
      </c>
    </row>
    <row r="455" spans="1:3" x14ac:dyDescent="0.3">
      <c r="A455" t="s">
        <v>617</v>
      </c>
      <c r="B455" t="s">
        <v>975</v>
      </c>
      <c r="C455" t="s">
        <v>1129</v>
      </c>
    </row>
    <row r="456" spans="1:3" x14ac:dyDescent="0.3">
      <c r="A456" t="s">
        <v>152</v>
      </c>
      <c r="B456" t="s">
        <v>968</v>
      </c>
      <c r="C456" t="s">
        <v>1051</v>
      </c>
    </row>
    <row r="457" spans="1:3" x14ac:dyDescent="0.3">
      <c r="A457" t="s">
        <v>18</v>
      </c>
      <c r="B457" t="s">
        <v>975</v>
      </c>
      <c r="C457" t="s">
        <v>976</v>
      </c>
    </row>
    <row r="458" spans="1:3" x14ac:dyDescent="0.3">
      <c r="A458" t="s">
        <v>497</v>
      </c>
      <c r="B458" t="s">
        <v>973</v>
      </c>
      <c r="C458" t="s">
        <v>1086</v>
      </c>
    </row>
    <row r="459" spans="1:3" x14ac:dyDescent="0.3">
      <c r="A459" t="s">
        <v>593</v>
      </c>
      <c r="B459" t="s">
        <v>968</v>
      </c>
      <c r="C459" t="s">
        <v>1103</v>
      </c>
    </row>
    <row r="460" spans="1:3" x14ac:dyDescent="0.3">
      <c r="A460" t="s">
        <v>707</v>
      </c>
      <c r="B460" t="s">
        <v>991</v>
      </c>
      <c r="C460" t="s">
        <v>1117</v>
      </c>
    </row>
    <row r="461" spans="1:3" x14ac:dyDescent="0.3">
      <c r="A461" t="s">
        <v>576</v>
      </c>
      <c r="B461" t="s">
        <v>991</v>
      </c>
      <c r="C461" t="s">
        <v>995</v>
      </c>
    </row>
    <row r="462" spans="1:3" x14ac:dyDescent="0.3">
      <c r="A462" t="s">
        <v>735</v>
      </c>
      <c r="B462" t="s">
        <v>973</v>
      </c>
      <c r="C462" t="s">
        <v>1060</v>
      </c>
    </row>
    <row r="463" spans="1:3" x14ac:dyDescent="0.3">
      <c r="A463" t="s">
        <v>571</v>
      </c>
      <c r="B463" t="s">
        <v>973</v>
      </c>
      <c r="C463" t="s">
        <v>1004</v>
      </c>
    </row>
    <row r="464" spans="1:3" x14ac:dyDescent="0.3">
      <c r="A464" t="s">
        <v>251</v>
      </c>
      <c r="B464" t="s">
        <v>973</v>
      </c>
      <c r="C464" t="s">
        <v>1028</v>
      </c>
    </row>
    <row r="465" spans="1:3" x14ac:dyDescent="0.3">
      <c r="A465" t="s">
        <v>32</v>
      </c>
      <c r="B465" t="s">
        <v>975</v>
      </c>
      <c r="C465" t="s">
        <v>989</v>
      </c>
    </row>
    <row r="466" spans="1:3" x14ac:dyDescent="0.3">
      <c r="A466" t="s">
        <v>218</v>
      </c>
      <c r="B466" t="s">
        <v>973</v>
      </c>
      <c r="C466" t="s">
        <v>994</v>
      </c>
    </row>
    <row r="467" spans="1:3" x14ac:dyDescent="0.3">
      <c r="A467" t="s">
        <v>352</v>
      </c>
      <c r="B467" t="s">
        <v>975</v>
      </c>
      <c r="C467" t="s">
        <v>1029</v>
      </c>
    </row>
    <row r="468" spans="1:3" x14ac:dyDescent="0.3">
      <c r="A468" t="s">
        <v>919</v>
      </c>
      <c r="B468" t="s">
        <v>973</v>
      </c>
      <c r="C468" t="s">
        <v>1009</v>
      </c>
    </row>
    <row r="469" spans="1:3" x14ac:dyDescent="0.3">
      <c r="A469" t="s">
        <v>51</v>
      </c>
      <c r="B469" t="s">
        <v>973</v>
      </c>
      <c r="C469" t="s">
        <v>1006</v>
      </c>
    </row>
    <row r="470" spans="1:3" x14ac:dyDescent="0.3">
      <c r="A470" t="s">
        <v>657</v>
      </c>
      <c r="B470" t="s">
        <v>973</v>
      </c>
      <c r="C470" t="s">
        <v>1126</v>
      </c>
    </row>
    <row r="471" spans="1:3" x14ac:dyDescent="0.3">
      <c r="A471" t="s">
        <v>355</v>
      </c>
      <c r="B471" t="s">
        <v>973</v>
      </c>
      <c r="C471" t="s">
        <v>974</v>
      </c>
    </row>
    <row r="472" spans="1:3" x14ac:dyDescent="0.3">
      <c r="A472" t="s">
        <v>841</v>
      </c>
      <c r="B472" t="s">
        <v>971</v>
      </c>
      <c r="C472" t="s">
        <v>1095</v>
      </c>
    </row>
    <row r="473" spans="1:3" x14ac:dyDescent="0.3">
      <c r="A473" t="s">
        <v>193</v>
      </c>
      <c r="B473" t="s">
        <v>968</v>
      </c>
      <c r="C473" t="s">
        <v>1023</v>
      </c>
    </row>
    <row r="474" spans="1:3" x14ac:dyDescent="0.3">
      <c r="A474" t="s">
        <v>492</v>
      </c>
      <c r="B474" t="s">
        <v>975</v>
      </c>
      <c r="C474" t="s">
        <v>1029</v>
      </c>
    </row>
    <row r="475" spans="1:3" x14ac:dyDescent="0.3">
      <c r="A475" t="s">
        <v>328</v>
      </c>
      <c r="B475" t="s">
        <v>973</v>
      </c>
      <c r="C475" t="s">
        <v>990</v>
      </c>
    </row>
    <row r="476" spans="1:3" x14ac:dyDescent="0.3">
      <c r="A476" t="s">
        <v>361</v>
      </c>
      <c r="B476" t="s">
        <v>968</v>
      </c>
      <c r="C476" t="s">
        <v>1022</v>
      </c>
    </row>
    <row r="477" spans="1:3" x14ac:dyDescent="0.3">
      <c r="A477" t="s">
        <v>582</v>
      </c>
      <c r="B477" t="s">
        <v>975</v>
      </c>
      <c r="C477" t="s">
        <v>1132</v>
      </c>
    </row>
    <row r="478" spans="1:3" x14ac:dyDescent="0.3">
      <c r="A478" t="s">
        <v>412</v>
      </c>
      <c r="B478" t="s">
        <v>973</v>
      </c>
      <c r="C478" t="s">
        <v>1078</v>
      </c>
    </row>
    <row r="479" spans="1:3" x14ac:dyDescent="0.3">
      <c r="A479" t="s">
        <v>367</v>
      </c>
      <c r="B479" t="s">
        <v>971</v>
      </c>
      <c r="C479" t="s">
        <v>980</v>
      </c>
    </row>
    <row r="480" spans="1:3" x14ac:dyDescent="0.3">
      <c r="A480" t="s">
        <v>214</v>
      </c>
      <c r="B480" t="s">
        <v>968</v>
      </c>
      <c r="C480" t="s">
        <v>1023</v>
      </c>
    </row>
    <row r="481" spans="1:3" x14ac:dyDescent="0.3">
      <c r="A481" t="s">
        <v>246</v>
      </c>
      <c r="B481" t="s">
        <v>981</v>
      </c>
      <c r="C481" t="s">
        <v>1108</v>
      </c>
    </row>
    <row r="482" spans="1:3" x14ac:dyDescent="0.3">
      <c r="A482" t="s">
        <v>411</v>
      </c>
      <c r="B482" t="s">
        <v>973</v>
      </c>
      <c r="C482" t="s">
        <v>1109</v>
      </c>
    </row>
    <row r="483" spans="1:3" x14ac:dyDescent="0.3">
      <c r="A483" t="s">
        <v>500</v>
      </c>
      <c r="B483" t="s">
        <v>973</v>
      </c>
      <c r="C483" t="s">
        <v>1079</v>
      </c>
    </row>
    <row r="484" spans="1:3" x14ac:dyDescent="0.3">
      <c r="A484" t="s">
        <v>482</v>
      </c>
      <c r="B484" t="s">
        <v>973</v>
      </c>
      <c r="C484" t="s">
        <v>1011</v>
      </c>
    </row>
    <row r="485" spans="1:3" x14ac:dyDescent="0.3">
      <c r="A485" t="s">
        <v>95</v>
      </c>
      <c r="B485" t="s">
        <v>968</v>
      </c>
      <c r="C485" t="s">
        <v>1040</v>
      </c>
    </row>
    <row r="486" spans="1:3" x14ac:dyDescent="0.3">
      <c r="A486" t="s">
        <v>699</v>
      </c>
      <c r="B486" t="s">
        <v>971</v>
      </c>
      <c r="C486" t="s">
        <v>980</v>
      </c>
    </row>
    <row r="487" spans="1:3" x14ac:dyDescent="0.3">
      <c r="A487" t="s">
        <v>185</v>
      </c>
      <c r="B487" t="s">
        <v>973</v>
      </c>
      <c r="C487" t="s">
        <v>1088</v>
      </c>
    </row>
    <row r="488" spans="1:3" x14ac:dyDescent="0.3">
      <c r="A488" t="s">
        <v>827</v>
      </c>
      <c r="B488" t="s">
        <v>975</v>
      </c>
      <c r="C488" t="s">
        <v>1148</v>
      </c>
    </row>
    <row r="489" spans="1:3" x14ac:dyDescent="0.3">
      <c r="A489" t="s">
        <v>862</v>
      </c>
      <c r="B489" t="s">
        <v>968</v>
      </c>
      <c r="C489" t="s">
        <v>1046</v>
      </c>
    </row>
    <row r="490" spans="1:3" x14ac:dyDescent="0.3">
      <c r="A490" t="s">
        <v>406</v>
      </c>
      <c r="B490" t="s">
        <v>991</v>
      </c>
      <c r="C490" t="s">
        <v>1101</v>
      </c>
    </row>
    <row r="491" spans="1:3" x14ac:dyDescent="0.3">
      <c r="A491" t="s">
        <v>595</v>
      </c>
      <c r="B491" t="s">
        <v>973</v>
      </c>
      <c r="C491" t="s">
        <v>1063</v>
      </c>
    </row>
    <row r="492" spans="1:3" x14ac:dyDescent="0.3">
      <c r="A492" t="s">
        <v>558</v>
      </c>
      <c r="B492" t="s">
        <v>973</v>
      </c>
      <c r="C492" t="s">
        <v>1041</v>
      </c>
    </row>
    <row r="493" spans="1:3" x14ac:dyDescent="0.3">
      <c r="A493" t="s">
        <v>561</v>
      </c>
      <c r="B493" t="s">
        <v>973</v>
      </c>
      <c r="C493" t="s">
        <v>1112</v>
      </c>
    </row>
    <row r="494" spans="1:3" x14ac:dyDescent="0.3">
      <c r="A494" t="s">
        <v>255</v>
      </c>
      <c r="B494" t="s">
        <v>991</v>
      </c>
      <c r="C494" t="s">
        <v>993</v>
      </c>
    </row>
    <row r="495" spans="1:3" x14ac:dyDescent="0.3">
      <c r="A495" t="s">
        <v>723</v>
      </c>
      <c r="B495" t="s">
        <v>973</v>
      </c>
      <c r="C495" t="s">
        <v>1069</v>
      </c>
    </row>
    <row r="496" spans="1:3" x14ac:dyDescent="0.3">
      <c r="A496" t="s">
        <v>79</v>
      </c>
      <c r="B496" t="s">
        <v>975</v>
      </c>
      <c r="C496" t="s">
        <v>1029</v>
      </c>
    </row>
    <row r="497" spans="1:3" x14ac:dyDescent="0.3">
      <c r="A497" t="s">
        <v>471</v>
      </c>
      <c r="B497" t="s">
        <v>973</v>
      </c>
      <c r="C497" t="s">
        <v>1136</v>
      </c>
    </row>
    <row r="498" spans="1:3" x14ac:dyDescent="0.3">
      <c r="A498" t="s">
        <v>946</v>
      </c>
      <c r="B498" t="s">
        <v>968</v>
      </c>
      <c r="C498" t="s">
        <v>1105</v>
      </c>
    </row>
    <row r="499" spans="1:3" x14ac:dyDescent="0.3">
      <c r="A499" t="s">
        <v>928</v>
      </c>
      <c r="B499" t="s">
        <v>971</v>
      </c>
      <c r="C499" t="s">
        <v>1095</v>
      </c>
    </row>
    <row r="500" spans="1:3" x14ac:dyDescent="0.3">
      <c r="A500" t="s">
        <v>528</v>
      </c>
      <c r="B500" t="s">
        <v>973</v>
      </c>
      <c r="C500" t="s">
        <v>1112</v>
      </c>
    </row>
    <row r="501" spans="1:3" x14ac:dyDescent="0.3">
      <c r="A501" t="s">
        <v>670</v>
      </c>
      <c r="B501" t="s">
        <v>968</v>
      </c>
      <c r="C501" t="s">
        <v>1137</v>
      </c>
    </row>
    <row r="502" spans="1:3" x14ac:dyDescent="0.3">
      <c r="A502" t="s">
        <v>710</v>
      </c>
      <c r="B502" t="s">
        <v>973</v>
      </c>
      <c r="C502" t="s">
        <v>1090</v>
      </c>
    </row>
    <row r="503" spans="1:3" x14ac:dyDescent="0.3">
      <c r="A503" t="s">
        <v>372</v>
      </c>
      <c r="B503" t="s">
        <v>991</v>
      </c>
      <c r="C503" t="s">
        <v>1114</v>
      </c>
    </row>
    <row r="504" spans="1:3" x14ac:dyDescent="0.3">
      <c r="A504" t="s">
        <v>188</v>
      </c>
      <c r="B504" t="s">
        <v>991</v>
      </c>
      <c r="C504" t="s">
        <v>1024</v>
      </c>
    </row>
    <row r="505" spans="1:3" x14ac:dyDescent="0.3">
      <c r="A505" t="s">
        <v>785</v>
      </c>
      <c r="B505" t="s">
        <v>991</v>
      </c>
      <c r="C505" t="s">
        <v>1049</v>
      </c>
    </row>
    <row r="506" spans="1:3" x14ac:dyDescent="0.3">
      <c r="A506" t="s">
        <v>713</v>
      </c>
      <c r="B506" t="s">
        <v>991</v>
      </c>
      <c r="C506" t="s">
        <v>1155</v>
      </c>
    </row>
    <row r="507" spans="1:3" x14ac:dyDescent="0.3">
      <c r="A507" t="s">
        <v>610</v>
      </c>
      <c r="B507" t="s">
        <v>991</v>
      </c>
      <c r="C507" t="s">
        <v>1024</v>
      </c>
    </row>
    <row r="508" spans="1:3" x14ac:dyDescent="0.3">
      <c r="A508" t="s">
        <v>409</v>
      </c>
      <c r="B508" t="s">
        <v>968</v>
      </c>
      <c r="C508" t="s">
        <v>1003</v>
      </c>
    </row>
    <row r="509" spans="1:3" x14ac:dyDescent="0.3">
      <c r="A509" t="s">
        <v>164</v>
      </c>
      <c r="B509" t="s">
        <v>973</v>
      </c>
      <c r="C509" t="s">
        <v>1078</v>
      </c>
    </row>
    <row r="510" spans="1:3" x14ac:dyDescent="0.3">
      <c r="A510" t="s">
        <v>553</v>
      </c>
      <c r="B510" t="s">
        <v>973</v>
      </c>
      <c r="C510" t="s">
        <v>1041</v>
      </c>
    </row>
    <row r="511" spans="1:3" x14ac:dyDescent="0.3">
      <c r="A511" t="s">
        <v>350</v>
      </c>
      <c r="B511" t="s">
        <v>973</v>
      </c>
      <c r="C511" t="s">
        <v>1109</v>
      </c>
    </row>
    <row r="512" spans="1:3" x14ac:dyDescent="0.3">
      <c r="A512" t="s">
        <v>331</v>
      </c>
      <c r="B512" t="s">
        <v>973</v>
      </c>
      <c r="C512" t="s">
        <v>1109</v>
      </c>
    </row>
    <row r="513" spans="1:3" x14ac:dyDescent="0.3">
      <c r="A513" t="s">
        <v>626</v>
      </c>
      <c r="B513" t="s">
        <v>973</v>
      </c>
      <c r="C513" t="s">
        <v>1154</v>
      </c>
    </row>
    <row r="514" spans="1:3" x14ac:dyDescent="0.3">
      <c r="A514" t="s">
        <v>516</v>
      </c>
      <c r="B514" t="s">
        <v>973</v>
      </c>
      <c r="C514" t="s">
        <v>1072</v>
      </c>
    </row>
    <row r="515" spans="1:3" x14ac:dyDescent="0.3">
      <c r="A515" t="s">
        <v>900</v>
      </c>
      <c r="B515" t="s">
        <v>973</v>
      </c>
      <c r="C515" t="s">
        <v>1050</v>
      </c>
    </row>
    <row r="516" spans="1:3" x14ac:dyDescent="0.3">
      <c r="A516" t="s">
        <v>135</v>
      </c>
      <c r="B516" t="s">
        <v>968</v>
      </c>
      <c r="C516" t="s">
        <v>1062</v>
      </c>
    </row>
    <row r="517" spans="1:3" x14ac:dyDescent="0.3">
      <c r="A517" t="s">
        <v>759</v>
      </c>
      <c r="B517" t="s">
        <v>968</v>
      </c>
      <c r="C517" t="s">
        <v>1097</v>
      </c>
    </row>
    <row r="518" spans="1:3" x14ac:dyDescent="0.3">
      <c r="A518" t="s">
        <v>630</v>
      </c>
      <c r="B518" t="s">
        <v>973</v>
      </c>
      <c r="C518" t="s">
        <v>1109</v>
      </c>
    </row>
    <row r="519" spans="1:3" x14ac:dyDescent="0.3">
      <c r="A519" t="s">
        <v>546</v>
      </c>
      <c r="B519" t="s">
        <v>991</v>
      </c>
      <c r="C519" t="s">
        <v>1027</v>
      </c>
    </row>
    <row r="520" spans="1:3" x14ac:dyDescent="0.3">
      <c r="A520" t="s">
        <v>955</v>
      </c>
      <c r="B520" t="s">
        <v>991</v>
      </c>
      <c r="C520" t="s">
        <v>1008</v>
      </c>
    </row>
    <row r="521" spans="1:3" x14ac:dyDescent="0.3">
      <c r="A521" t="s">
        <v>362</v>
      </c>
      <c r="B521" t="s">
        <v>973</v>
      </c>
      <c r="C521" t="s">
        <v>1030</v>
      </c>
    </row>
    <row r="522" spans="1:3" x14ac:dyDescent="0.3">
      <c r="A522" t="s">
        <v>667</v>
      </c>
      <c r="B522" t="s">
        <v>968</v>
      </c>
      <c r="C522" t="s">
        <v>1094</v>
      </c>
    </row>
    <row r="523" spans="1:3" x14ac:dyDescent="0.3">
      <c r="A523" t="s">
        <v>245</v>
      </c>
      <c r="B523" t="s">
        <v>975</v>
      </c>
      <c r="C523" t="s">
        <v>1065</v>
      </c>
    </row>
    <row r="524" spans="1:3" x14ac:dyDescent="0.3">
      <c r="A524" t="s">
        <v>532</v>
      </c>
      <c r="B524" t="s">
        <v>991</v>
      </c>
      <c r="C524" t="s">
        <v>1146</v>
      </c>
    </row>
    <row r="525" spans="1:3" x14ac:dyDescent="0.3">
      <c r="A525" t="s">
        <v>876</v>
      </c>
      <c r="B525" t="s">
        <v>971</v>
      </c>
      <c r="C525" t="s">
        <v>1100</v>
      </c>
    </row>
    <row r="526" spans="1:3" x14ac:dyDescent="0.3">
      <c r="A526" t="s">
        <v>33</v>
      </c>
      <c r="B526" t="s">
        <v>973</v>
      </c>
      <c r="C526" t="s">
        <v>990</v>
      </c>
    </row>
    <row r="527" spans="1:3" x14ac:dyDescent="0.3">
      <c r="A527" t="s">
        <v>128</v>
      </c>
      <c r="B527" t="s">
        <v>991</v>
      </c>
      <c r="C527" t="s">
        <v>1033</v>
      </c>
    </row>
    <row r="528" spans="1:3" x14ac:dyDescent="0.3">
      <c r="A528" t="s">
        <v>67</v>
      </c>
      <c r="B528" t="s">
        <v>973</v>
      </c>
      <c r="C528" t="s">
        <v>987</v>
      </c>
    </row>
    <row r="529" spans="1:3" x14ac:dyDescent="0.3">
      <c r="A529" t="s">
        <v>450</v>
      </c>
      <c r="B529" t="s">
        <v>971</v>
      </c>
      <c r="C529" t="s">
        <v>1012</v>
      </c>
    </row>
    <row r="530" spans="1:3" x14ac:dyDescent="0.3">
      <c r="A530" t="s">
        <v>156</v>
      </c>
      <c r="B530" t="s">
        <v>991</v>
      </c>
      <c r="C530" t="s">
        <v>1010</v>
      </c>
    </row>
    <row r="531" spans="1:3" x14ac:dyDescent="0.3">
      <c r="A531" t="s">
        <v>632</v>
      </c>
      <c r="B531" t="s">
        <v>975</v>
      </c>
      <c r="C531" t="s">
        <v>1135</v>
      </c>
    </row>
    <row r="532" spans="1:3" x14ac:dyDescent="0.3">
      <c r="A532" t="s">
        <v>121</v>
      </c>
      <c r="B532" t="s">
        <v>968</v>
      </c>
      <c r="C532" t="s">
        <v>1054</v>
      </c>
    </row>
    <row r="533" spans="1:3" x14ac:dyDescent="0.3">
      <c r="A533" t="s">
        <v>390</v>
      </c>
      <c r="B533" t="s">
        <v>968</v>
      </c>
      <c r="C533" t="s">
        <v>1103</v>
      </c>
    </row>
    <row r="534" spans="1:3" x14ac:dyDescent="0.3">
      <c r="A534" t="s">
        <v>215</v>
      </c>
      <c r="B534" t="s">
        <v>973</v>
      </c>
      <c r="C534" t="s">
        <v>1096</v>
      </c>
    </row>
    <row r="535" spans="1:3" x14ac:dyDescent="0.3">
      <c r="A535" t="s">
        <v>646</v>
      </c>
      <c r="B535" t="s">
        <v>973</v>
      </c>
      <c r="C535" t="s">
        <v>1006</v>
      </c>
    </row>
    <row r="536" spans="1:3" x14ac:dyDescent="0.3">
      <c r="A536" t="s">
        <v>629</v>
      </c>
      <c r="B536" t="s">
        <v>991</v>
      </c>
      <c r="C536" t="s">
        <v>1114</v>
      </c>
    </row>
    <row r="537" spans="1:3" x14ac:dyDescent="0.3">
      <c r="A537" t="s">
        <v>233</v>
      </c>
      <c r="B537" t="s">
        <v>968</v>
      </c>
      <c r="C537" t="s">
        <v>970</v>
      </c>
    </row>
    <row r="538" spans="1:3" x14ac:dyDescent="0.3">
      <c r="A538" t="s">
        <v>559</v>
      </c>
      <c r="B538" t="s">
        <v>973</v>
      </c>
      <c r="C538" t="s">
        <v>974</v>
      </c>
    </row>
    <row r="539" spans="1:3" x14ac:dyDescent="0.3">
      <c r="A539" t="s">
        <v>927</v>
      </c>
      <c r="B539" t="s">
        <v>968</v>
      </c>
      <c r="C539" t="s">
        <v>1057</v>
      </c>
    </row>
    <row r="540" spans="1:3" x14ac:dyDescent="0.3">
      <c r="A540" t="s">
        <v>830</v>
      </c>
      <c r="B540" t="s">
        <v>975</v>
      </c>
      <c r="C540" t="s">
        <v>1135</v>
      </c>
    </row>
    <row r="541" spans="1:3" x14ac:dyDescent="0.3">
      <c r="A541" t="s">
        <v>573</v>
      </c>
      <c r="B541" t="s">
        <v>968</v>
      </c>
      <c r="C541" t="s">
        <v>1123</v>
      </c>
    </row>
    <row r="542" spans="1:3" x14ac:dyDescent="0.3">
      <c r="A542" t="s">
        <v>672</v>
      </c>
      <c r="B542" t="s">
        <v>975</v>
      </c>
      <c r="C542" t="s">
        <v>1148</v>
      </c>
    </row>
    <row r="543" spans="1:3" x14ac:dyDescent="0.3">
      <c r="A543" t="s">
        <v>623</v>
      </c>
      <c r="B543" t="s">
        <v>991</v>
      </c>
      <c r="C543" t="s">
        <v>1010</v>
      </c>
    </row>
    <row r="544" spans="1:3" x14ac:dyDescent="0.3">
      <c r="A544" t="s">
        <v>655</v>
      </c>
      <c r="B544" t="s">
        <v>973</v>
      </c>
      <c r="C544" t="s">
        <v>1063</v>
      </c>
    </row>
    <row r="545" spans="1:3" x14ac:dyDescent="0.3">
      <c r="A545" t="s">
        <v>802</v>
      </c>
      <c r="B545" t="s">
        <v>973</v>
      </c>
      <c r="C545" t="s">
        <v>1082</v>
      </c>
    </row>
    <row r="546" spans="1:3" x14ac:dyDescent="0.3">
      <c r="A546" t="s">
        <v>547</v>
      </c>
      <c r="B546" t="s">
        <v>973</v>
      </c>
      <c r="C546" t="s">
        <v>1031</v>
      </c>
    </row>
    <row r="547" spans="1:3" x14ac:dyDescent="0.3">
      <c r="A547" t="s">
        <v>222</v>
      </c>
      <c r="B547" t="s">
        <v>973</v>
      </c>
      <c r="C547" t="s">
        <v>1030</v>
      </c>
    </row>
    <row r="548" spans="1:3" x14ac:dyDescent="0.3">
      <c r="A548" t="s">
        <v>342</v>
      </c>
      <c r="B548" t="s">
        <v>968</v>
      </c>
      <c r="C548" t="s">
        <v>1038</v>
      </c>
    </row>
    <row r="549" spans="1:3" x14ac:dyDescent="0.3">
      <c r="A549" t="s">
        <v>57</v>
      </c>
      <c r="B549" t="s">
        <v>973</v>
      </c>
      <c r="C549" t="s">
        <v>1011</v>
      </c>
    </row>
    <row r="550" spans="1:3" x14ac:dyDescent="0.3">
      <c r="A550" t="s">
        <v>622</v>
      </c>
      <c r="B550" t="s">
        <v>975</v>
      </c>
      <c r="C550" t="s">
        <v>1044</v>
      </c>
    </row>
    <row r="551" spans="1:3" x14ac:dyDescent="0.3">
      <c r="A551" t="s">
        <v>728</v>
      </c>
      <c r="B551" t="s">
        <v>973</v>
      </c>
      <c r="C551" t="s">
        <v>1066</v>
      </c>
    </row>
    <row r="552" spans="1:3" x14ac:dyDescent="0.3">
      <c r="A552" t="s">
        <v>80</v>
      </c>
      <c r="B552" t="s">
        <v>973</v>
      </c>
      <c r="C552" t="s">
        <v>1030</v>
      </c>
    </row>
    <row r="553" spans="1:3" x14ac:dyDescent="0.3">
      <c r="A553" t="s">
        <v>951</v>
      </c>
      <c r="B553" t="s">
        <v>973</v>
      </c>
      <c r="C553" t="s">
        <v>999</v>
      </c>
    </row>
    <row r="554" spans="1:3" x14ac:dyDescent="0.3">
      <c r="A554" t="s">
        <v>747</v>
      </c>
      <c r="B554" t="s">
        <v>973</v>
      </c>
      <c r="C554" t="s">
        <v>1072</v>
      </c>
    </row>
    <row r="555" spans="1:3" x14ac:dyDescent="0.3">
      <c r="A555" t="s">
        <v>526</v>
      </c>
      <c r="B555" t="s">
        <v>968</v>
      </c>
      <c r="C555" t="s">
        <v>1127</v>
      </c>
    </row>
    <row r="556" spans="1:3" x14ac:dyDescent="0.3">
      <c r="A556" t="s">
        <v>718</v>
      </c>
      <c r="B556" t="s">
        <v>968</v>
      </c>
      <c r="C556" t="s">
        <v>1057</v>
      </c>
    </row>
    <row r="557" spans="1:3" x14ac:dyDescent="0.3">
      <c r="A557" t="s">
        <v>751</v>
      </c>
      <c r="B557" t="s">
        <v>968</v>
      </c>
      <c r="C557" t="s">
        <v>1046</v>
      </c>
    </row>
    <row r="558" spans="1:3" x14ac:dyDescent="0.3">
      <c r="A558" t="s">
        <v>288</v>
      </c>
      <c r="B558" t="s">
        <v>975</v>
      </c>
      <c r="C558" t="s">
        <v>989</v>
      </c>
    </row>
    <row r="559" spans="1:3" x14ac:dyDescent="0.3">
      <c r="A559" t="s">
        <v>642</v>
      </c>
      <c r="B559" t="s">
        <v>973</v>
      </c>
      <c r="C559" t="s">
        <v>984</v>
      </c>
    </row>
    <row r="560" spans="1:3" x14ac:dyDescent="0.3">
      <c r="A560" t="s">
        <v>824</v>
      </c>
      <c r="B560" t="s">
        <v>971</v>
      </c>
      <c r="C560" t="s">
        <v>1067</v>
      </c>
    </row>
    <row r="561" spans="1:3" x14ac:dyDescent="0.3">
      <c r="A561" t="s">
        <v>791</v>
      </c>
      <c r="B561" t="s">
        <v>973</v>
      </c>
      <c r="C561" t="s">
        <v>1151</v>
      </c>
    </row>
    <row r="562" spans="1:3" x14ac:dyDescent="0.3">
      <c r="A562" t="s">
        <v>542</v>
      </c>
      <c r="B562" t="s">
        <v>973</v>
      </c>
      <c r="C562" t="s">
        <v>1020</v>
      </c>
    </row>
    <row r="563" spans="1:3" x14ac:dyDescent="0.3">
      <c r="A563" t="s">
        <v>243</v>
      </c>
      <c r="B563" t="s">
        <v>968</v>
      </c>
      <c r="C563" t="s">
        <v>1107</v>
      </c>
    </row>
    <row r="564" spans="1:3" x14ac:dyDescent="0.3">
      <c r="A564" t="s">
        <v>371</v>
      </c>
      <c r="B564" t="s">
        <v>968</v>
      </c>
      <c r="C564" t="s">
        <v>1107</v>
      </c>
    </row>
    <row r="565" spans="1:3" x14ac:dyDescent="0.3">
      <c r="A565" t="s">
        <v>103</v>
      </c>
      <c r="B565" t="s">
        <v>968</v>
      </c>
      <c r="C565" t="s">
        <v>1040</v>
      </c>
    </row>
    <row r="566" spans="1:3" x14ac:dyDescent="0.3">
      <c r="A566" t="s">
        <v>935</v>
      </c>
      <c r="B566" t="s">
        <v>971</v>
      </c>
      <c r="C566" t="s">
        <v>980</v>
      </c>
    </row>
    <row r="567" spans="1:3" x14ac:dyDescent="0.3">
      <c r="A567" t="s">
        <v>575</v>
      </c>
      <c r="B567" t="s">
        <v>973</v>
      </c>
      <c r="C567" t="s">
        <v>1102</v>
      </c>
    </row>
    <row r="568" spans="1:3" x14ac:dyDescent="0.3">
      <c r="A568" t="s">
        <v>540</v>
      </c>
      <c r="B568" t="s">
        <v>975</v>
      </c>
      <c r="C568" t="s">
        <v>1019</v>
      </c>
    </row>
    <row r="569" spans="1:3" x14ac:dyDescent="0.3">
      <c r="A569" t="s">
        <v>525</v>
      </c>
      <c r="B569" t="s">
        <v>971</v>
      </c>
      <c r="C569" t="s">
        <v>988</v>
      </c>
    </row>
    <row r="570" spans="1:3" x14ac:dyDescent="0.3">
      <c r="A570" t="s">
        <v>794</v>
      </c>
      <c r="B570" t="s">
        <v>968</v>
      </c>
      <c r="C570" t="s">
        <v>1131</v>
      </c>
    </row>
    <row r="571" spans="1:3" x14ac:dyDescent="0.3">
      <c r="A571" t="s">
        <v>81</v>
      </c>
      <c r="B571" t="s">
        <v>973</v>
      </c>
      <c r="C571" t="s">
        <v>1031</v>
      </c>
    </row>
    <row r="572" spans="1:3" x14ac:dyDescent="0.3">
      <c r="A572" t="s">
        <v>719</v>
      </c>
      <c r="B572" t="s">
        <v>973</v>
      </c>
      <c r="C572" t="s">
        <v>985</v>
      </c>
    </row>
    <row r="573" spans="1:3" x14ac:dyDescent="0.3">
      <c r="A573" t="s">
        <v>478</v>
      </c>
      <c r="B573" t="s">
        <v>968</v>
      </c>
      <c r="C573" t="s">
        <v>1062</v>
      </c>
    </row>
    <row r="574" spans="1:3" x14ac:dyDescent="0.3">
      <c r="A574" t="s">
        <v>569</v>
      </c>
      <c r="B574" t="s">
        <v>968</v>
      </c>
      <c r="C574" t="s">
        <v>1022</v>
      </c>
    </row>
    <row r="575" spans="1:3" x14ac:dyDescent="0.3">
      <c r="A575" t="s">
        <v>400</v>
      </c>
      <c r="B575" t="s">
        <v>991</v>
      </c>
      <c r="C575" t="s">
        <v>1101</v>
      </c>
    </row>
    <row r="576" spans="1:3" x14ac:dyDescent="0.3">
      <c r="A576" t="s">
        <v>447</v>
      </c>
      <c r="B576" t="s">
        <v>973</v>
      </c>
      <c r="C576" t="s">
        <v>979</v>
      </c>
    </row>
    <row r="577" spans="1:3" x14ac:dyDescent="0.3">
      <c r="A577" t="s">
        <v>715</v>
      </c>
      <c r="B577" t="s">
        <v>991</v>
      </c>
      <c r="C577" t="s">
        <v>1101</v>
      </c>
    </row>
    <row r="578" spans="1:3" x14ac:dyDescent="0.3">
      <c r="A578" t="s">
        <v>750</v>
      </c>
      <c r="B578" t="s">
        <v>973</v>
      </c>
      <c r="C578" t="s">
        <v>1030</v>
      </c>
    </row>
    <row r="579" spans="1:3" x14ac:dyDescent="0.3">
      <c r="A579" t="s">
        <v>847</v>
      </c>
      <c r="B579" t="s">
        <v>971</v>
      </c>
      <c r="C579" t="s">
        <v>980</v>
      </c>
    </row>
    <row r="580" spans="1:3" x14ac:dyDescent="0.3">
      <c r="A580" t="s">
        <v>356</v>
      </c>
      <c r="B580" t="s">
        <v>991</v>
      </c>
      <c r="C580" t="s">
        <v>1114</v>
      </c>
    </row>
    <row r="581" spans="1:3" x14ac:dyDescent="0.3">
      <c r="A581" t="s">
        <v>891</v>
      </c>
      <c r="B581" t="s">
        <v>968</v>
      </c>
      <c r="C581" t="s">
        <v>1094</v>
      </c>
    </row>
    <row r="582" spans="1:3" x14ac:dyDescent="0.3">
      <c r="A582" t="s">
        <v>404</v>
      </c>
      <c r="B582" t="s">
        <v>975</v>
      </c>
      <c r="C582" t="s">
        <v>976</v>
      </c>
    </row>
    <row r="583" spans="1:3" x14ac:dyDescent="0.3">
      <c r="A583" t="s">
        <v>285</v>
      </c>
      <c r="B583" t="s">
        <v>968</v>
      </c>
      <c r="C583" t="s">
        <v>1043</v>
      </c>
    </row>
    <row r="584" spans="1:3" x14ac:dyDescent="0.3">
      <c r="A584" t="s">
        <v>254</v>
      </c>
      <c r="B584" t="s">
        <v>975</v>
      </c>
      <c r="C584" t="s">
        <v>1013</v>
      </c>
    </row>
    <row r="585" spans="1:3" x14ac:dyDescent="0.3">
      <c r="A585" t="s">
        <v>806</v>
      </c>
      <c r="B585" t="s">
        <v>973</v>
      </c>
      <c r="C585" t="s">
        <v>1157</v>
      </c>
    </row>
    <row r="586" spans="1:3" x14ac:dyDescent="0.3">
      <c r="A586" t="s">
        <v>901</v>
      </c>
      <c r="B586" t="s">
        <v>968</v>
      </c>
      <c r="C586" t="s">
        <v>1097</v>
      </c>
    </row>
    <row r="587" spans="1:3" x14ac:dyDescent="0.3">
      <c r="A587" t="s">
        <v>310</v>
      </c>
      <c r="B587" t="s">
        <v>968</v>
      </c>
      <c r="C587" t="s">
        <v>1046</v>
      </c>
    </row>
    <row r="588" spans="1:3" x14ac:dyDescent="0.3">
      <c r="A588" t="s">
        <v>812</v>
      </c>
      <c r="B588" t="s">
        <v>968</v>
      </c>
      <c r="C588" t="s">
        <v>1156</v>
      </c>
    </row>
    <row r="589" spans="1:3" x14ac:dyDescent="0.3">
      <c r="A589" t="s">
        <v>810</v>
      </c>
      <c r="B589" t="s">
        <v>991</v>
      </c>
      <c r="C589" t="s">
        <v>1101</v>
      </c>
    </row>
    <row r="590" spans="1:3" x14ac:dyDescent="0.3">
      <c r="A590" t="s">
        <v>577</v>
      </c>
      <c r="B590" t="s">
        <v>973</v>
      </c>
      <c r="C590" t="s">
        <v>1075</v>
      </c>
    </row>
    <row r="591" spans="1:3" x14ac:dyDescent="0.3">
      <c r="A591" t="s">
        <v>379</v>
      </c>
      <c r="B591" t="s">
        <v>991</v>
      </c>
      <c r="C591" t="s">
        <v>1059</v>
      </c>
    </row>
    <row r="592" spans="1:3" x14ac:dyDescent="0.3">
      <c r="A592" t="s">
        <v>190</v>
      </c>
      <c r="B592" t="s">
        <v>973</v>
      </c>
      <c r="C592" t="s">
        <v>1042</v>
      </c>
    </row>
    <row r="593" spans="1:3" x14ac:dyDescent="0.3">
      <c r="A593" t="s">
        <v>502</v>
      </c>
      <c r="B593" t="s">
        <v>975</v>
      </c>
      <c r="C593" t="s">
        <v>1142</v>
      </c>
    </row>
    <row r="594" spans="1:3" x14ac:dyDescent="0.3">
      <c r="A594" t="s">
        <v>138</v>
      </c>
      <c r="B594" t="s">
        <v>973</v>
      </c>
      <c r="C594" t="s">
        <v>1064</v>
      </c>
    </row>
    <row r="595" spans="1:3" x14ac:dyDescent="0.3">
      <c r="A595" t="s">
        <v>433</v>
      </c>
      <c r="B595" t="s">
        <v>973</v>
      </c>
      <c r="C595" t="s">
        <v>1088</v>
      </c>
    </row>
    <row r="596" spans="1:3" x14ac:dyDescent="0.3">
      <c r="A596" t="s">
        <v>615</v>
      </c>
      <c r="B596" t="s">
        <v>968</v>
      </c>
      <c r="C596" t="s">
        <v>1097</v>
      </c>
    </row>
    <row r="597" spans="1:3" x14ac:dyDescent="0.3">
      <c r="A597" t="s">
        <v>925</v>
      </c>
      <c r="B597" t="s">
        <v>971</v>
      </c>
      <c r="C597" t="s">
        <v>1113</v>
      </c>
    </row>
    <row r="598" spans="1:3" x14ac:dyDescent="0.3">
      <c r="A598" t="s">
        <v>273</v>
      </c>
      <c r="B598" t="s">
        <v>968</v>
      </c>
      <c r="C598" t="s">
        <v>1118</v>
      </c>
    </row>
    <row r="599" spans="1:3" x14ac:dyDescent="0.3">
      <c r="A599" t="s">
        <v>905</v>
      </c>
      <c r="B599" t="s">
        <v>973</v>
      </c>
      <c r="C599" t="s">
        <v>1009</v>
      </c>
    </row>
    <row r="600" spans="1:3" x14ac:dyDescent="0.3">
      <c r="A600" t="s">
        <v>110</v>
      </c>
      <c r="B600" t="s">
        <v>968</v>
      </c>
      <c r="C600" t="s">
        <v>1032</v>
      </c>
    </row>
    <row r="601" spans="1:3" x14ac:dyDescent="0.3">
      <c r="A601" t="s">
        <v>821</v>
      </c>
      <c r="B601" t="s">
        <v>973</v>
      </c>
      <c r="C601" t="s">
        <v>1110</v>
      </c>
    </row>
    <row r="602" spans="1:3" x14ac:dyDescent="0.3">
      <c r="A602" t="s">
        <v>864</v>
      </c>
      <c r="B602" t="s">
        <v>981</v>
      </c>
      <c r="C602" t="s">
        <v>1128</v>
      </c>
    </row>
    <row r="603" spans="1:3" x14ac:dyDescent="0.3">
      <c r="A603" t="s">
        <v>541</v>
      </c>
      <c r="B603" t="s">
        <v>973</v>
      </c>
      <c r="C603" t="s">
        <v>994</v>
      </c>
    </row>
    <row r="604" spans="1:3" x14ac:dyDescent="0.3">
      <c r="A604" t="s">
        <v>929</v>
      </c>
      <c r="B604" t="s">
        <v>968</v>
      </c>
      <c r="C604" t="s">
        <v>1036</v>
      </c>
    </row>
    <row r="605" spans="1:3" x14ac:dyDescent="0.3">
      <c r="A605" t="s">
        <v>98</v>
      </c>
      <c r="B605" t="s">
        <v>968</v>
      </c>
      <c r="C605" t="s">
        <v>1039</v>
      </c>
    </row>
    <row r="606" spans="1:3" x14ac:dyDescent="0.3">
      <c r="A606" t="s">
        <v>349</v>
      </c>
      <c r="B606" t="s">
        <v>991</v>
      </c>
      <c r="C606" t="s">
        <v>1017</v>
      </c>
    </row>
    <row r="607" spans="1:3" x14ac:dyDescent="0.3">
      <c r="A607" t="s">
        <v>72</v>
      </c>
      <c r="B607" t="s">
        <v>968</v>
      </c>
      <c r="C607" t="s">
        <v>1022</v>
      </c>
    </row>
    <row r="608" spans="1:3" x14ac:dyDescent="0.3">
      <c r="A608" t="s">
        <v>833</v>
      </c>
      <c r="B608" t="s">
        <v>973</v>
      </c>
      <c r="C608" t="s">
        <v>1120</v>
      </c>
    </row>
    <row r="609" spans="1:3" x14ac:dyDescent="0.3">
      <c r="A609" t="s">
        <v>937</v>
      </c>
      <c r="B609" t="s">
        <v>975</v>
      </c>
      <c r="C609" t="s">
        <v>989</v>
      </c>
    </row>
    <row r="610" spans="1:3" x14ac:dyDescent="0.3">
      <c r="A610" t="s">
        <v>663</v>
      </c>
      <c r="B610" t="s">
        <v>973</v>
      </c>
      <c r="C610" t="s">
        <v>1151</v>
      </c>
    </row>
    <row r="611" spans="1:3" x14ac:dyDescent="0.3">
      <c r="A611" t="s">
        <v>727</v>
      </c>
      <c r="B611" t="s">
        <v>973</v>
      </c>
      <c r="C611" t="s">
        <v>1147</v>
      </c>
    </row>
    <row r="612" spans="1:3" x14ac:dyDescent="0.3">
      <c r="A612" t="s">
        <v>741</v>
      </c>
      <c r="B612" t="s">
        <v>991</v>
      </c>
      <c r="C612" t="s">
        <v>1033</v>
      </c>
    </row>
    <row r="613" spans="1:3" x14ac:dyDescent="0.3">
      <c r="A613" t="s">
        <v>428</v>
      </c>
      <c r="B613" t="s">
        <v>973</v>
      </c>
      <c r="C613" t="s">
        <v>987</v>
      </c>
    </row>
    <row r="614" spans="1:3" x14ac:dyDescent="0.3">
      <c r="A614" t="s">
        <v>813</v>
      </c>
      <c r="B614" t="s">
        <v>973</v>
      </c>
      <c r="C614" t="s">
        <v>1071</v>
      </c>
    </row>
    <row r="615" spans="1:3" x14ac:dyDescent="0.3">
      <c r="A615" t="s">
        <v>959</v>
      </c>
      <c r="B615" t="s">
        <v>968</v>
      </c>
      <c r="C615" t="s">
        <v>1137</v>
      </c>
    </row>
    <row r="616" spans="1:3" x14ac:dyDescent="0.3">
      <c r="A616" t="s">
        <v>766</v>
      </c>
      <c r="B616" t="s">
        <v>981</v>
      </c>
      <c r="C616" t="s">
        <v>1128</v>
      </c>
    </row>
    <row r="617" spans="1:3" x14ac:dyDescent="0.3">
      <c r="A617" t="s">
        <v>281</v>
      </c>
      <c r="B617" t="s">
        <v>991</v>
      </c>
      <c r="C617" t="s">
        <v>1068</v>
      </c>
    </row>
    <row r="618" spans="1:3" x14ac:dyDescent="0.3">
      <c r="A618" t="s">
        <v>296</v>
      </c>
      <c r="B618" t="s">
        <v>991</v>
      </c>
      <c r="C618" t="s">
        <v>996</v>
      </c>
    </row>
    <row r="619" spans="1:3" x14ac:dyDescent="0.3">
      <c r="A619" t="s">
        <v>858</v>
      </c>
      <c r="B619" t="s">
        <v>973</v>
      </c>
      <c r="C619" t="s">
        <v>998</v>
      </c>
    </row>
    <row r="620" spans="1:3" x14ac:dyDescent="0.3">
      <c r="A620" t="s">
        <v>206</v>
      </c>
      <c r="B620" t="s">
        <v>991</v>
      </c>
      <c r="C620" t="s">
        <v>1024</v>
      </c>
    </row>
    <row r="621" spans="1:3" x14ac:dyDescent="0.3">
      <c r="A621" t="s">
        <v>912</v>
      </c>
      <c r="B621" t="s">
        <v>968</v>
      </c>
      <c r="C621" t="s">
        <v>1131</v>
      </c>
    </row>
    <row r="622" spans="1:3" x14ac:dyDescent="0.3">
      <c r="A622" t="s">
        <v>938</v>
      </c>
      <c r="B622" t="s">
        <v>973</v>
      </c>
      <c r="C622" t="s">
        <v>1020</v>
      </c>
    </row>
    <row r="623" spans="1:3" x14ac:dyDescent="0.3">
      <c r="A623" t="s">
        <v>213</v>
      </c>
      <c r="B623" t="s">
        <v>968</v>
      </c>
      <c r="C623" t="s">
        <v>1062</v>
      </c>
    </row>
    <row r="624" spans="1:3" x14ac:dyDescent="0.3">
      <c r="A624" t="s">
        <v>726</v>
      </c>
      <c r="B624" t="s">
        <v>991</v>
      </c>
      <c r="C624" t="s">
        <v>1005</v>
      </c>
    </row>
    <row r="625" spans="1:3" x14ac:dyDescent="0.3">
      <c r="A625" t="s">
        <v>801</v>
      </c>
      <c r="B625" t="s">
        <v>975</v>
      </c>
      <c r="C625" t="s">
        <v>1065</v>
      </c>
    </row>
    <row r="626" spans="1:3" x14ac:dyDescent="0.3">
      <c r="A626" t="s">
        <v>129</v>
      </c>
      <c r="B626" t="s">
        <v>968</v>
      </c>
      <c r="C626" t="s">
        <v>1021</v>
      </c>
    </row>
    <row r="627" spans="1:3" x14ac:dyDescent="0.3">
      <c r="A627" t="s">
        <v>229</v>
      </c>
      <c r="B627" t="s">
        <v>968</v>
      </c>
      <c r="C627" t="s">
        <v>1070</v>
      </c>
    </row>
    <row r="628" spans="1:3" x14ac:dyDescent="0.3">
      <c r="A628" t="s">
        <v>91</v>
      </c>
      <c r="B628" t="s">
        <v>968</v>
      </c>
      <c r="C628" t="s">
        <v>1036</v>
      </c>
    </row>
    <row r="629" spans="1:3" x14ac:dyDescent="0.3">
      <c r="A629" t="s">
        <v>734</v>
      </c>
      <c r="B629" t="s">
        <v>971</v>
      </c>
      <c r="C629" t="s">
        <v>1095</v>
      </c>
    </row>
    <row r="630" spans="1:3" x14ac:dyDescent="0.3">
      <c r="A630" t="s">
        <v>191</v>
      </c>
      <c r="B630" t="s">
        <v>968</v>
      </c>
      <c r="C630" t="s">
        <v>1054</v>
      </c>
    </row>
    <row r="631" spans="1:3" x14ac:dyDescent="0.3">
      <c r="A631" t="s">
        <v>82</v>
      </c>
      <c r="B631" t="s">
        <v>973</v>
      </c>
      <c r="C631" t="s">
        <v>983</v>
      </c>
    </row>
    <row r="632" spans="1:3" x14ac:dyDescent="0.3">
      <c r="A632" t="s">
        <v>365</v>
      </c>
      <c r="B632" t="s">
        <v>973</v>
      </c>
      <c r="C632" t="s">
        <v>1096</v>
      </c>
    </row>
    <row r="633" spans="1:3" x14ac:dyDescent="0.3">
      <c r="A633" t="s">
        <v>855</v>
      </c>
      <c r="B633" t="s">
        <v>975</v>
      </c>
      <c r="C633" t="s">
        <v>1013</v>
      </c>
    </row>
    <row r="634" spans="1:3" x14ac:dyDescent="0.3">
      <c r="A634" t="s">
        <v>489</v>
      </c>
      <c r="B634" t="s">
        <v>973</v>
      </c>
      <c r="C634" t="s">
        <v>1104</v>
      </c>
    </row>
    <row r="635" spans="1:3" x14ac:dyDescent="0.3">
      <c r="A635" t="s">
        <v>155</v>
      </c>
      <c r="B635" t="s">
        <v>991</v>
      </c>
      <c r="C635" t="s">
        <v>1074</v>
      </c>
    </row>
    <row r="636" spans="1:3" x14ac:dyDescent="0.3">
      <c r="A636" t="s">
        <v>940</v>
      </c>
      <c r="B636" t="s">
        <v>973</v>
      </c>
      <c r="C636" t="s">
        <v>985</v>
      </c>
    </row>
    <row r="637" spans="1:3" x14ac:dyDescent="0.3">
      <c r="A637" t="s">
        <v>490</v>
      </c>
      <c r="B637" t="s">
        <v>971</v>
      </c>
      <c r="C637" t="s">
        <v>1139</v>
      </c>
    </row>
    <row r="638" spans="1:3" x14ac:dyDescent="0.3">
      <c r="A638" t="s">
        <v>903</v>
      </c>
      <c r="B638" t="s">
        <v>991</v>
      </c>
      <c r="C638" t="s">
        <v>1035</v>
      </c>
    </row>
    <row r="639" spans="1:3" x14ac:dyDescent="0.3">
      <c r="A639" t="s">
        <v>347</v>
      </c>
      <c r="B639" t="s">
        <v>973</v>
      </c>
      <c r="C639" t="s">
        <v>1079</v>
      </c>
    </row>
    <row r="640" spans="1:3" x14ac:dyDescent="0.3">
      <c r="A640" t="s">
        <v>533</v>
      </c>
      <c r="B640" t="s">
        <v>973</v>
      </c>
      <c r="C640" t="s">
        <v>1147</v>
      </c>
    </row>
    <row r="641" spans="1:3" x14ac:dyDescent="0.3">
      <c r="A641" t="s">
        <v>386</v>
      </c>
      <c r="B641" t="s">
        <v>991</v>
      </c>
      <c r="C641" t="s">
        <v>1024</v>
      </c>
    </row>
    <row r="642" spans="1:3" x14ac:dyDescent="0.3">
      <c r="A642" t="s">
        <v>890</v>
      </c>
      <c r="B642" t="s">
        <v>968</v>
      </c>
      <c r="C642" t="s">
        <v>1152</v>
      </c>
    </row>
    <row r="643" spans="1:3" x14ac:dyDescent="0.3">
      <c r="A643" t="s">
        <v>148</v>
      </c>
      <c r="B643" t="s">
        <v>973</v>
      </c>
      <c r="C643" t="s">
        <v>1071</v>
      </c>
    </row>
    <row r="644" spans="1:3" x14ac:dyDescent="0.3">
      <c r="A644" t="s">
        <v>660</v>
      </c>
      <c r="B644" t="s">
        <v>968</v>
      </c>
      <c r="C644" t="s">
        <v>1099</v>
      </c>
    </row>
    <row r="645" spans="1:3" x14ac:dyDescent="0.3">
      <c r="A645" t="s">
        <v>442</v>
      </c>
      <c r="B645" t="s">
        <v>991</v>
      </c>
      <c r="C645" t="s">
        <v>1098</v>
      </c>
    </row>
    <row r="646" spans="1:3" x14ac:dyDescent="0.3">
      <c r="A646" t="s">
        <v>664</v>
      </c>
      <c r="B646" t="s">
        <v>971</v>
      </c>
      <c r="C646" t="s">
        <v>1100</v>
      </c>
    </row>
    <row r="647" spans="1:3" x14ac:dyDescent="0.3">
      <c r="A647" t="s">
        <v>429</v>
      </c>
      <c r="B647" t="s">
        <v>968</v>
      </c>
      <c r="C647" t="s">
        <v>1134</v>
      </c>
    </row>
    <row r="648" spans="1:3" x14ac:dyDescent="0.3">
      <c r="A648" t="s">
        <v>154</v>
      </c>
      <c r="B648" t="s">
        <v>968</v>
      </c>
      <c r="C648" t="s">
        <v>1073</v>
      </c>
    </row>
    <row r="649" spans="1:3" x14ac:dyDescent="0.3">
      <c r="A649" t="s">
        <v>851</v>
      </c>
      <c r="B649" t="s">
        <v>975</v>
      </c>
      <c r="C649" t="s">
        <v>1092</v>
      </c>
    </row>
    <row r="650" spans="1:3" x14ac:dyDescent="0.3">
      <c r="A650" t="s">
        <v>143</v>
      </c>
      <c r="B650" t="s">
        <v>973</v>
      </c>
      <c r="C650" t="s">
        <v>1063</v>
      </c>
    </row>
    <row r="651" spans="1:3" x14ac:dyDescent="0.3">
      <c r="A651" t="s">
        <v>612</v>
      </c>
      <c r="B651" t="s">
        <v>968</v>
      </c>
      <c r="C651" t="s">
        <v>1152</v>
      </c>
    </row>
    <row r="652" spans="1:3" x14ac:dyDescent="0.3">
      <c r="A652" t="s">
        <v>563</v>
      </c>
      <c r="B652" t="s">
        <v>973</v>
      </c>
      <c r="C652" t="s">
        <v>1055</v>
      </c>
    </row>
    <row r="653" spans="1:3" x14ac:dyDescent="0.3">
      <c r="A653" t="s">
        <v>192</v>
      </c>
      <c r="B653" t="s">
        <v>973</v>
      </c>
      <c r="C653" t="s">
        <v>1090</v>
      </c>
    </row>
    <row r="654" spans="1:3" x14ac:dyDescent="0.3">
      <c r="A654" t="s">
        <v>140</v>
      </c>
      <c r="B654" t="s">
        <v>973</v>
      </c>
      <c r="C654" t="s">
        <v>1066</v>
      </c>
    </row>
    <row r="655" spans="1:3" x14ac:dyDescent="0.3">
      <c r="A655" t="s">
        <v>631</v>
      </c>
      <c r="B655" t="s">
        <v>973</v>
      </c>
      <c r="C655" t="s">
        <v>1120</v>
      </c>
    </row>
    <row r="656" spans="1:3" x14ac:dyDescent="0.3">
      <c r="A656" t="s">
        <v>195</v>
      </c>
      <c r="B656" t="s">
        <v>973</v>
      </c>
      <c r="C656" t="s">
        <v>1028</v>
      </c>
    </row>
    <row r="657" spans="1:3" x14ac:dyDescent="0.3">
      <c r="A657" t="s">
        <v>605</v>
      </c>
      <c r="B657" t="s">
        <v>968</v>
      </c>
      <c r="C657" t="s">
        <v>1094</v>
      </c>
    </row>
    <row r="658" spans="1:3" x14ac:dyDescent="0.3">
      <c r="A658" t="s">
        <v>588</v>
      </c>
      <c r="B658" t="s">
        <v>968</v>
      </c>
      <c r="C658" t="s">
        <v>1032</v>
      </c>
    </row>
    <row r="659" spans="1:3" x14ac:dyDescent="0.3">
      <c r="A659" t="s">
        <v>453</v>
      </c>
      <c r="B659" t="s">
        <v>975</v>
      </c>
      <c r="C659" t="s">
        <v>1132</v>
      </c>
    </row>
    <row r="660" spans="1:3" x14ac:dyDescent="0.3">
      <c r="A660" t="s">
        <v>894</v>
      </c>
      <c r="B660" t="s">
        <v>973</v>
      </c>
      <c r="C660" t="s">
        <v>1020</v>
      </c>
    </row>
    <row r="661" spans="1:3" x14ac:dyDescent="0.3">
      <c r="A661" t="s">
        <v>725</v>
      </c>
      <c r="B661" t="s">
        <v>971</v>
      </c>
      <c r="C661" t="s">
        <v>1045</v>
      </c>
    </row>
    <row r="662" spans="1:3" x14ac:dyDescent="0.3">
      <c r="A662" t="s">
        <v>470</v>
      </c>
      <c r="B662" t="s">
        <v>991</v>
      </c>
      <c r="C662" t="s">
        <v>1035</v>
      </c>
    </row>
    <row r="663" spans="1:3" x14ac:dyDescent="0.3">
      <c r="A663" t="s">
        <v>323</v>
      </c>
      <c r="B663" t="s">
        <v>973</v>
      </c>
      <c r="C663" t="s">
        <v>1086</v>
      </c>
    </row>
    <row r="664" spans="1:3" x14ac:dyDescent="0.3">
      <c r="A664" t="s">
        <v>761</v>
      </c>
      <c r="B664" t="s">
        <v>973</v>
      </c>
      <c r="C664" t="s">
        <v>985</v>
      </c>
    </row>
    <row r="665" spans="1:3" x14ac:dyDescent="0.3">
      <c r="A665" t="s">
        <v>899</v>
      </c>
      <c r="B665" t="s">
        <v>975</v>
      </c>
      <c r="C665" t="s">
        <v>1133</v>
      </c>
    </row>
    <row r="666" spans="1:3" x14ac:dyDescent="0.3">
      <c r="A666" t="s">
        <v>849</v>
      </c>
      <c r="B666" t="s">
        <v>968</v>
      </c>
      <c r="C666" t="s">
        <v>1003</v>
      </c>
    </row>
    <row r="667" spans="1:3" x14ac:dyDescent="0.3">
      <c r="A667" t="s">
        <v>755</v>
      </c>
      <c r="B667" t="s">
        <v>973</v>
      </c>
      <c r="C667" t="s">
        <v>1047</v>
      </c>
    </row>
    <row r="668" spans="1:3" x14ac:dyDescent="0.3">
      <c r="A668" t="s">
        <v>640</v>
      </c>
      <c r="B668" t="s">
        <v>975</v>
      </c>
      <c r="C668" t="s">
        <v>1130</v>
      </c>
    </row>
    <row r="669" spans="1:3" x14ac:dyDescent="0.3">
      <c r="A669" t="s">
        <v>31</v>
      </c>
      <c r="B669" t="s">
        <v>971</v>
      </c>
      <c r="C669" t="s">
        <v>988</v>
      </c>
    </row>
    <row r="670" spans="1:3" x14ac:dyDescent="0.3">
      <c r="A670" t="s">
        <v>62</v>
      </c>
      <c r="B670" t="s">
        <v>973</v>
      </c>
      <c r="C670" t="s">
        <v>1015</v>
      </c>
    </row>
    <row r="671" spans="1:3" x14ac:dyDescent="0.3">
      <c r="A671" t="s">
        <v>602</v>
      </c>
      <c r="B671" t="s">
        <v>973</v>
      </c>
      <c r="C671" t="s">
        <v>1121</v>
      </c>
    </row>
    <row r="672" spans="1:3" x14ac:dyDescent="0.3">
      <c r="A672" t="s">
        <v>792</v>
      </c>
      <c r="B672" t="s">
        <v>973</v>
      </c>
      <c r="C672" t="s">
        <v>1063</v>
      </c>
    </row>
    <row r="673" spans="1:3" x14ac:dyDescent="0.3">
      <c r="A673" t="s">
        <v>712</v>
      </c>
      <c r="B673" t="s">
        <v>968</v>
      </c>
      <c r="C673" t="s">
        <v>1140</v>
      </c>
    </row>
    <row r="674" spans="1:3" x14ac:dyDescent="0.3">
      <c r="A674" t="s">
        <v>923</v>
      </c>
      <c r="B674" t="s">
        <v>991</v>
      </c>
      <c r="C674" t="s">
        <v>1005</v>
      </c>
    </row>
    <row r="675" spans="1:3" x14ac:dyDescent="0.3">
      <c r="A675" t="s">
        <v>187</v>
      </c>
      <c r="B675" t="s">
        <v>968</v>
      </c>
      <c r="C675" t="s">
        <v>1051</v>
      </c>
    </row>
    <row r="676" spans="1:3" x14ac:dyDescent="0.3">
      <c r="A676" t="s">
        <v>101</v>
      </c>
      <c r="B676" t="s">
        <v>973</v>
      </c>
      <c r="C676" t="s">
        <v>1042</v>
      </c>
    </row>
    <row r="677" spans="1:3" x14ac:dyDescent="0.3">
      <c r="A677" t="s">
        <v>884</v>
      </c>
      <c r="B677" t="s">
        <v>968</v>
      </c>
      <c r="C677" t="s">
        <v>1036</v>
      </c>
    </row>
    <row r="678" spans="1:3" x14ac:dyDescent="0.3">
      <c r="A678" t="s">
        <v>318</v>
      </c>
      <c r="B678" t="s">
        <v>991</v>
      </c>
      <c r="C678" t="s">
        <v>1098</v>
      </c>
    </row>
    <row r="679" spans="1:3" x14ac:dyDescent="0.3">
      <c r="A679" t="s">
        <v>780</v>
      </c>
      <c r="B679" t="s">
        <v>968</v>
      </c>
      <c r="C679" t="s">
        <v>1087</v>
      </c>
    </row>
    <row r="680" spans="1:3" x14ac:dyDescent="0.3">
      <c r="A680" t="s">
        <v>169</v>
      </c>
      <c r="B680" t="s">
        <v>971</v>
      </c>
      <c r="C680" t="s">
        <v>1012</v>
      </c>
    </row>
    <row r="681" spans="1:3" x14ac:dyDescent="0.3">
      <c r="A681" t="s">
        <v>157</v>
      </c>
      <c r="B681" t="s">
        <v>968</v>
      </c>
      <c r="C681" t="s">
        <v>969</v>
      </c>
    </row>
    <row r="682" spans="1:3" x14ac:dyDescent="0.3">
      <c r="A682" t="s">
        <v>645</v>
      </c>
      <c r="B682" t="s">
        <v>973</v>
      </c>
      <c r="C682" t="s">
        <v>1066</v>
      </c>
    </row>
    <row r="683" spans="1:3" x14ac:dyDescent="0.3">
      <c r="A683" t="s">
        <v>504</v>
      </c>
      <c r="B683" t="s">
        <v>968</v>
      </c>
      <c r="C683" t="s">
        <v>1107</v>
      </c>
    </row>
    <row r="684" spans="1:3" x14ac:dyDescent="0.3">
      <c r="A684" t="s">
        <v>322</v>
      </c>
      <c r="B684" t="s">
        <v>971</v>
      </c>
      <c r="C684" t="s">
        <v>972</v>
      </c>
    </row>
    <row r="685" spans="1:3" x14ac:dyDescent="0.3">
      <c r="A685" t="s">
        <v>208</v>
      </c>
      <c r="B685" t="s">
        <v>971</v>
      </c>
      <c r="C685" t="s">
        <v>1095</v>
      </c>
    </row>
    <row r="686" spans="1:3" x14ac:dyDescent="0.3">
      <c r="A686" t="s">
        <v>134</v>
      </c>
      <c r="B686" t="s">
        <v>973</v>
      </c>
      <c r="C686" t="s">
        <v>1061</v>
      </c>
    </row>
    <row r="687" spans="1:3" x14ac:dyDescent="0.3">
      <c r="A687" t="s">
        <v>954</v>
      </c>
      <c r="B687" t="s">
        <v>968</v>
      </c>
      <c r="C687" t="s">
        <v>1038</v>
      </c>
    </row>
    <row r="688" spans="1:3" x14ac:dyDescent="0.3">
      <c r="A688" t="s">
        <v>133</v>
      </c>
      <c r="B688" t="s">
        <v>973</v>
      </c>
      <c r="C688" t="s">
        <v>986</v>
      </c>
    </row>
    <row r="689" spans="1:3" x14ac:dyDescent="0.3">
      <c r="A689" t="s">
        <v>99</v>
      </c>
      <c r="B689" t="s">
        <v>973</v>
      </c>
      <c r="C689" t="s">
        <v>1041</v>
      </c>
    </row>
    <row r="690" spans="1:3" x14ac:dyDescent="0.3">
      <c r="A690" t="s">
        <v>43</v>
      </c>
      <c r="B690" t="s">
        <v>968</v>
      </c>
      <c r="C690" t="s">
        <v>1000</v>
      </c>
    </row>
    <row r="691" spans="1:3" x14ac:dyDescent="0.3">
      <c r="A691" t="s">
        <v>278</v>
      </c>
      <c r="B691" t="s">
        <v>968</v>
      </c>
      <c r="C691" t="s">
        <v>1023</v>
      </c>
    </row>
    <row r="692" spans="1:3" x14ac:dyDescent="0.3">
      <c r="A692" t="s">
        <v>407</v>
      </c>
      <c r="B692" t="s">
        <v>991</v>
      </c>
      <c r="C692" t="s">
        <v>1007</v>
      </c>
    </row>
    <row r="693" spans="1:3" x14ac:dyDescent="0.3">
      <c r="A693" t="s">
        <v>696</v>
      </c>
      <c r="B693" t="s">
        <v>991</v>
      </c>
      <c r="C693" t="s">
        <v>993</v>
      </c>
    </row>
    <row r="694" spans="1:3" x14ac:dyDescent="0.3">
      <c r="A694" t="s">
        <v>861</v>
      </c>
      <c r="B694" t="s">
        <v>968</v>
      </c>
      <c r="C694" t="s">
        <v>1073</v>
      </c>
    </row>
    <row r="695" spans="1:3" x14ac:dyDescent="0.3">
      <c r="A695" t="s">
        <v>515</v>
      </c>
      <c r="B695" t="s">
        <v>991</v>
      </c>
      <c r="C695" t="s">
        <v>1007</v>
      </c>
    </row>
    <row r="696" spans="1:3" x14ac:dyDescent="0.3">
      <c r="A696" t="s">
        <v>455</v>
      </c>
      <c r="B696" t="s">
        <v>973</v>
      </c>
      <c r="C696" t="s">
        <v>984</v>
      </c>
    </row>
    <row r="697" spans="1:3" x14ac:dyDescent="0.3">
      <c r="A697" t="s">
        <v>60</v>
      </c>
      <c r="B697" t="s">
        <v>971</v>
      </c>
      <c r="C697" t="s">
        <v>1001</v>
      </c>
    </row>
    <row r="698" spans="1:3" x14ac:dyDescent="0.3">
      <c r="A698" t="s">
        <v>873</v>
      </c>
      <c r="B698" t="s">
        <v>973</v>
      </c>
      <c r="C698" t="s">
        <v>1066</v>
      </c>
    </row>
    <row r="699" spans="1:3" x14ac:dyDescent="0.3">
      <c r="A699" t="s">
        <v>340</v>
      </c>
      <c r="B699" t="s">
        <v>991</v>
      </c>
      <c r="C699" t="s">
        <v>1049</v>
      </c>
    </row>
    <row r="700" spans="1:3" x14ac:dyDescent="0.3">
      <c r="A700" t="s">
        <v>15</v>
      </c>
      <c r="B700" t="s">
        <v>971</v>
      </c>
      <c r="C700" t="s">
        <v>972</v>
      </c>
    </row>
    <row r="701" spans="1:3" x14ac:dyDescent="0.3">
      <c r="A701" t="s">
        <v>706</v>
      </c>
      <c r="B701" t="s">
        <v>968</v>
      </c>
      <c r="C701" t="s">
        <v>1048</v>
      </c>
    </row>
    <row r="702" spans="1:3" x14ac:dyDescent="0.3">
      <c r="A702" t="s">
        <v>745</v>
      </c>
      <c r="B702" t="s">
        <v>973</v>
      </c>
      <c r="C702" t="s">
        <v>1110</v>
      </c>
    </row>
    <row r="703" spans="1:3" x14ac:dyDescent="0.3">
      <c r="A703" t="s">
        <v>662</v>
      </c>
      <c r="B703" t="s">
        <v>968</v>
      </c>
      <c r="C703" t="s">
        <v>1073</v>
      </c>
    </row>
    <row r="704" spans="1:3" x14ac:dyDescent="0.3">
      <c r="A704" t="s">
        <v>421</v>
      </c>
      <c r="B704" t="s">
        <v>968</v>
      </c>
      <c r="C704" t="s">
        <v>1051</v>
      </c>
    </row>
    <row r="705" spans="1:3" x14ac:dyDescent="0.3">
      <c r="A705" t="s">
        <v>698</v>
      </c>
      <c r="B705" t="s">
        <v>973</v>
      </c>
      <c r="C705" t="s">
        <v>1076</v>
      </c>
    </row>
    <row r="706" spans="1:3" x14ac:dyDescent="0.3">
      <c r="A706" t="s">
        <v>886</v>
      </c>
      <c r="B706" t="s">
        <v>981</v>
      </c>
      <c r="C706" t="s">
        <v>1077</v>
      </c>
    </row>
    <row r="707" spans="1:3" x14ac:dyDescent="0.3">
      <c r="A707" t="s">
        <v>568</v>
      </c>
      <c r="B707" t="s">
        <v>991</v>
      </c>
      <c r="C707" t="s">
        <v>1114</v>
      </c>
    </row>
    <row r="708" spans="1:3" x14ac:dyDescent="0.3">
      <c r="A708" t="s">
        <v>474</v>
      </c>
      <c r="B708" t="s">
        <v>973</v>
      </c>
      <c r="C708" t="s">
        <v>1018</v>
      </c>
    </row>
    <row r="709" spans="1:3" x14ac:dyDescent="0.3">
      <c r="A709" t="s">
        <v>305</v>
      </c>
      <c r="B709" t="s">
        <v>968</v>
      </c>
      <c r="C709" t="s">
        <v>1103</v>
      </c>
    </row>
    <row r="710" spans="1:3" x14ac:dyDescent="0.3">
      <c r="A710" t="s">
        <v>767</v>
      </c>
      <c r="B710" t="s">
        <v>975</v>
      </c>
      <c r="C710" t="s">
        <v>1044</v>
      </c>
    </row>
    <row r="711" spans="1:3" x14ac:dyDescent="0.3">
      <c r="A711" t="s">
        <v>444</v>
      </c>
      <c r="B711" t="s">
        <v>973</v>
      </c>
      <c r="C711" t="s">
        <v>1124</v>
      </c>
    </row>
    <row r="712" spans="1:3" x14ac:dyDescent="0.3">
      <c r="A712" t="s">
        <v>931</v>
      </c>
      <c r="B712" t="s">
        <v>973</v>
      </c>
      <c r="C712" t="s">
        <v>994</v>
      </c>
    </row>
    <row r="713" spans="1:3" x14ac:dyDescent="0.3">
      <c r="A713" t="s">
        <v>68</v>
      </c>
      <c r="B713" t="s">
        <v>975</v>
      </c>
      <c r="C713" t="s">
        <v>1019</v>
      </c>
    </row>
    <row r="714" spans="1:3" x14ac:dyDescent="0.3">
      <c r="A714" t="s">
        <v>774</v>
      </c>
      <c r="B714" t="s">
        <v>971</v>
      </c>
      <c r="C714" t="s">
        <v>980</v>
      </c>
    </row>
    <row r="715" spans="1:3" x14ac:dyDescent="0.3">
      <c r="A715" t="s">
        <v>177</v>
      </c>
      <c r="B715" t="s">
        <v>973</v>
      </c>
      <c r="C715" t="s">
        <v>1061</v>
      </c>
    </row>
    <row r="716" spans="1:3" x14ac:dyDescent="0.3">
      <c r="A716" t="s">
        <v>732</v>
      </c>
      <c r="B716" t="s">
        <v>991</v>
      </c>
      <c r="C716" t="s">
        <v>1024</v>
      </c>
    </row>
    <row r="717" spans="1:3" x14ac:dyDescent="0.3">
      <c r="A717" t="s">
        <v>799</v>
      </c>
      <c r="B717" t="s">
        <v>973</v>
      </c>
      <c r="C717" t="s">
        <v>1031</v>
      </c>
    </row>
    <row r="718" spans="1:3" x14ac:dyDescent="0.3">
      <c r="A718" t="s">
        <v>730</v>
      </c>
      <c r="B718" t="s">
        <v>975</v>
      </c>
      <c r="C718" t="s">
        <v>1029</v>
      </c>
    </row>
    <row r="719" spans="1:3" x14ac:dyDescent="0.3">
      <c r="A719" t="s">
        <v>263</v>
      </c>
      <c r="B719" t="s">
        <v>973</v>
      </c>
      <c r="C719" t="s">
        <v>1071</v>
      </c>
    </row>
    <row r="720" spans="1:3" x14ac:dyDescent="0.3">
      <c r="A720" t="s">
        <v>910</v>
      </c>
      <c r="B720" t="s">
        <v>973</v>
      </c>
      <c r="C720" t="s">
        <v>1079</v>
      </c>
    </row>
    <row r="721" spans="1:3" x14ac:dyDescent="0.3">
      <c r="A721" t="s">
        <v>527</v>
      </c>
      <c r="B721" t="s">
        <v>991</v>
      </c>
      <c r="C721" t="s">
        <v>1116</v>
      </c>
    </row>
    <row r="722" spans="1:3" x14ac:dyDescent="0.3">
      <c r="A722" t="s">
        <v>420</v>
      </c>
      <c r="B722" t="s">
        <v>973</v>
      </c>
      <c r="C722" t="s">
        <v>1009</v>
      </c>
    </row>
    <row r="723" spans="1:3" x14ac:dyDescent="0.3">
      <c r="A723" t="s">
        <v>930</v>
      </c>
      <c r="B723" t="s">
        <v>975</v>
      </c>
      <c r="C723" t="s">
        <v>1056</v>
      </c>
    </row>
    <row r="724" spans="1:3" x14ac:dyDescent="0.3">
      <c r="A724" t="s">
        <v>374</v>
      </c>
      <c r="B724" t="s">
        <v>971</v>
      </c>
      <c r="C724" t="s">
        <v>1016</v>
      </c>
    </row>
    <row r="725" spans="1:3" x14ac:dyDescent="0.3">
      <c r="A725" t="s">
        <v>376</v>
      </c>
      <c r="B725" t="s">
        <v>973</v>
      </c>
      <c r="C725" t="s">
        <v>1004</v>
      </c>
    </row>
    <row r="726" spans="1:3" x14ac:dyDescent="0.3">
      <c r="A726" t="s">
        <v>953</v>
      </c>
      <c r="B726" t="s">
        <v>968</v>
      </c>
      <c r="C726" t="s">
        <v>1032</v>
      </c>
    </row>
    <row r="727" spans="1:3" x14ac:dyDescent="0.3">
      <c r="A727" t="s">
        <v>795</v>
      </c>
      <c r="B727" t="s">
        <v>991</v>
      </c>
      <c r="C727" t="s">
        <v>1033</v>
      </c>
    </row>
    <row r="728" spans="1:3" x14ac:dyDescent="0.3">
      <c r="A728" t="s">
        <v>508</v>
      </c>
      <c r="B728" t="s">
        <v>991</v>
      </c>
      <c r="C728" t="s">
        <v>1033</v>
      </c>
    </row>
    <row r="729" spans="1:3" x14ac:dyDescent="0.3">
      <c r="A729" t="s">
        <v>74</v>
      </c>
      <c r="B729" t="s">
        <v>991</v>
      </c>
      <c r="C729" t="s">
        <v>1024</v>
      </c>
    </row>
    <row r="730" spans="1:3" x14ac:dyDescent="0.3">
      <c r="A730" t="s">
        <v>391</v>
      </c>
      <c r="B730" t="s">
        <v>973</v>
      </c>
      <c r="C730" t="s">
        <v>1112</v>
      </c>
    </row>
    <row r="731" spans="1:3" x14ac:dyDescent="0.3">
      <c r="A731" t="s">
        <v>552</v>
      </c>
      <c r="B731" t="s">
        <v>971</v>
      </c>
      <c r="C731" t="s">
        <v>1113</v>
      </c>
    </row>
    <row r="732" spans="1:3" x14ac:dyDescent="0.3">
      <c r="A732" t="s">
        <v>669</v>
      </c>
      <c r="B732" t="s">
        <v>968</v>
      </c>
      <c r="C732" t="s">
        <v>1140</v>
      </c>
    </row>
    <row r="733" spans="1:3" x14ac:dyDescent="0.3">
      <c r="A733" t="s">
        <v>638</v>
      </c>
      <c r="B733" t="s">
        <v>973</v>
      </c>
      <c r="C733" t="s">
        <v>1106</v>
      </c>
    </row>
    <row r="734" spans="1:3" x14ac:dyDescent="0.3">
      <c r="A734" t="s">
        <v>485</v>
      </c>
      <c r="B734" t="s">
        <v>968</v>
      </c>
      <c r="C734" t="s">
        <v>1036</v>
      </c>
    </row>
    <row r="735" spans="1:3" x14ac:dyDescent="0.3">
      <c r="A735" t="s">
        <v>220</v>
      </c>
      <c r="B735" t="s">
        <v>973</v>
      </c>
      <c r="C735" t="s">
        <v>1063</v>
      </c>
    </row>
    <row r="736" spans="1:3" x14ac:dyDescent="0.3">
      <c r="A736" t="s">
        <v>198</v>
      </c>
      <c r="B736" t="s">
        <v>975</v>
      </c>
      <c r="C736" t="s">
        <v>1092</v>
      </c>
    </row>
    <row r="737" spans="1:3" x14ac:dyDescent="0.3">
      <c r="A737" t="s">
        <v>933</v>
      </c>
      <c r="B737" t="s">
        <v>968</v>
      </c>
      <c r="C737" t="s">
        <v>1087</v>
      </c>
    </row>
    <row r="738" spans="1:3" x14ac:dyDescent="0.3">
      <c r="A738" t="s">
        <v>793</v>
      </c>
      <c r="B738" t="s">
        <v>973</v>
      </c>
      <c r="C738" t="s">
        <v>1063</v>
      </c>
    </row>
    <row r="739" spans="1:3" x14ac:dyDescent="0.3">
      <c r="A739" t="s">
        <v>601</v>
      </c>
      <c r="B739" t="s">
        <v>991</v>
      </c>
      <c r="C739" t="s">
        <v>1049</v>
      </c>
    </row>
    <row r="740" spans="1:3" x14ac:dyDescent="0.3">
      <c r="A740" t="s">
        <v>351</v>
      </c>
      <c r="B740" t="s">
        <v>991</v>
      </c>
      <c r="C740" t="s">
        <v>1059</v>
      </c>
    </row>
    <row r="741" spans="1:3" x14ac:dyDescent="0.3">
      <c r="A741" t="s">
        <v>419</v>
      </c>
      <c r="B741" t="s">
        <v>968</v>
      </c>
      <c r="C741" t="s">
        <v>1038</v>
      </c>
    </row>
    <row r="742" spans="1:3" x14ac:dyDescent="0.3">
      <c r="A742" t="s">
        <v>583</v>
      </c>
      <c r="B742" t="s">
        <v>971</v>
      </c>
      <c r="C742" t="s">
        <v>1113</v>
      </c>
    </row>
    <row r="743" spans="1:3" x14ac:dyDescent="0.3">
      <c r="A743" t="s">
        <v>381</v>
      </c>
      <c r="B743" t="s">
        <v>981</v>
      </c>
      <c r="C743" t="s">
        <v>982</v>
      </c>
    </row>
    <row r="744" spans="1:3" x14ac:dyDescent="0.3">
      <c r="A744" t="s">
        <v>781</v>
      </c>
      <c r="B744" t="s">
        <v>968</v>
      </c>
      <c r="C744" t="s">
        <v>1140</v>
      </c>
    </row>
    <row r="745" spans="1:3" x14ac:dyDescent="0.3">
      <c r="A745" t="s">
        <v>360</v>
      </c>
      <c r="B745" t="s">
        <v>973</v>
      </c>
      <c r="C745" t="s">
        <v>1081</v>
      </c>
    </row>
    <row r="746" spans="1:3" x14ac:dyDescent="0.3">
      <c r="A746" t="s">
        <v>880</v>
      </c>
      <c r="B746" t="s">
        <v>973</v>
      </c>
      <c r="C746" t="s">
        <v>1053</v>
      </c>
    </row>
    <row r="747" spans="1:3" x14ac:dyDescent="0.3">
      <c r="A747" t="s">
        <v>510</v>
      </c>
      <c r="B747" t="s">
        <v>971</v>
      </c>
      <c r="C747" t="s">
        <v>1045</v>
      </c>
    </row>
    <row r="748" spans="1:3" x14ac:dyDescent="0.3">
      <c r="A748" t="s">
        <v>53</v>
      </c>
      <c r="B748" t="s">
        <v>991</v>
      </c>
      <c r="C748" t="s">
        <v>1008</v>
      </c>
    </row>
    <row r="749" spans="1:3" x14ac:dyDescent="0.3">
      <c r="A749" t="s">
        <v>520</v>
      </c>
      <c r="B749" t="s">
        <v>968</v>
      </c>
      <c r="C749" t="s">
        <v>1145</v>
      </c>
    </row>
    <row r="750" spans="1:3" x14ac:dyDescent="0.3">
      <c r="A750" t="s">
        <v>151</v>
      </c>
      <c r="B750" t="s">
        <v>991</v>
      </c>
      <c r="C750" t="s">
        <v>992</v>
      </c>
    </row>
    <row r="751" spans="1:3" x14ac:dyDescent="0.3">
      <c r="A751" t="s">
        <v>913</v>
      </c>
      <c r="B751" t="s">
        <v>973</v>
      </c>
      <c r="C751" t="s">
        <v>974</v>
      </c>
    </row>
    <row r="752" spans="1:3" x14ac:dyDescent="0.3">
      <c r="A752" t="s">
        <v>24</v>
      </c>
      <c r="B752" t="s">
        <v>971</v>
      </c>
      <c r="C752" t="s">
        <v>980</v>
      </c>
    </row>
    <row r="753" spans="1:3" x14ac:dyDescent="0.3">
      <c r="A753" t="s">
        <v>227</v>
      </c>
      <c r="B753" t="s">
        <v>981</v>
      </c>
      <c r="C753" t="s">
        <v>982</v>
      </c>
    </row>
    <row r="754" spans="1:3" x14ac:dyDescent="0.3">
      <c r="A754" t="s">
        <v>122</v>
      </c>
      <c r="B754" t="s">
        <v>973</v>
      </c>
      <c r="C754" t="s">
        <v>1055</v>
      </c>
    </row>
    <row r="755" spans="1:3" x14ac:dyDescent="0.3">
      <c r="A755" t="s">
        <v>283</v>
      </c>
      <c r="B755" t="s">
        <v>973</v>
      </c>
      <c r="C755" t="s">
        <v>1066</v>
      </c>
    </row>
    <row r="756" spans="1:3" x14ac:dyDescent="0.3">
      <c r="A756" t="s">
        <v>896</v>
      </c>
      <c r="B756" t="s">
        <v>971</v>
      </c>
      <c r="C756" t="s">
        <v>1067</v>
      </c>
    </row>
    <row r="757" spans="1:3" x14ac:dyDescent="0.3">
      <c r="A757" t="s">
        <v>35</v>
      </c>
      <c r="B757" t="s">
        <v>991</v>
      </c>
      <c r="C757" t="s">
        <v>993</v>
      </c>
    </row>
    <row r="758" spans="1:3" x14ac:dyDescent="0.3">
      <c r="A758" t="s">
        <v>457</v>
      </c>
      <c r="B758" t="s">
        <v>973</v>
      </c>
      <c r="C758" t="s">
        <v>1042</v>
      </c>
    </row>
    <row r="759" spans="1:3" x14ac:dyDescent="0.3">
      <c r="A759" t="s">
        <v>739</v>
      </c>
      <c r="B759" t="s">
        <v>973</v>
      </c>
      <c r="C759" t="s">
        <v>1110</v>
      </c>
    </row>
    <row r="760" spans="1:3" x14ac:dyDescent="0.3">
      <c r="A760" t="s">
        <v>832</v>
      </c>
      <c r="B760" t="s">
        <v>973</v>
      </c>
      <c r="C760" t="s">
        <v>1110</v>
      </c>
    </row>
    <row r="761" spans="1:3" x14ac:dyDescent="0.3">
      <c r="A761" t="s">
        <v>363</v>
      </c>
      <c r="B761" t="s">
        <v>973</v>
      </c>
      <c r="C761" t="s">
        <v>1053</v>
      </c>
    </row>
    <row r="762" spans="1:3" x14ac:dyDescent="0.3">
      <c r="A762" t="s">
        <v>539</v>
      </c>
      <c r="B762" t="s">
        <v>973</v>
      </c>
      <c r="C762" t="s">
        <v>1075</v>
      </c>
    </row>
    <row r="763" spans="1:3" x14ac:dyDescent="0.3">
      <c r="A763" t="s">
        <v>650</v>
      </c>
      <c r="B763" t="s">
        <v>973</v>
      </c>
      <c r="C763" t="s">
        <v>1009</v>
      </c>
    </row>
    <row r="764" spans="1:3" x14ac:dyDescent="0.3">
      <c r="A764" t="s">
        <v>173</v>
      </c>
      <c r="B764" t="s">
        <v>973</v>
      </c>
      <c r="C764" t="s">
        <v>1055</v>
      </c>
    </row>
    <row r="765" spans="1:3" x14ac:dyDescent="0.3">
      <c r="A765" t="s">
        <v>104</v>
      </c>
      <c r="B765" t="s">
        <v>975</v>
      </c>
      <c r="C765" t="s">
        <v>1044</v>
      </c>
    </row>
    <row r="766" spans="1:3" x14ac:dyDescent="0.3">
      <c r="A766" t="s">
        <v>44</v>
      </c>
      <c r="B766" t="s">
        <v>973</v>
      </c>
      <c r="C766" t="s">
        <v>985</v>
      </c>
    </row>
    <row r="767" spans="1:3" x14ac:dyDescent="0.3">
      <c r="A767" t="s">
        <v>297</v>
      </c>
      <c r="B767" t="s">
        <v>973</v>
      </c>
      <c r="C767" t="s">
        <v>1015</v>
      </c>
    </row>
    <row r="768" spans="1:3" x14ac:dyDescent="0.3">
      <c r="A768" t="s">
        <v>643</v>
      </c>
      <c r="B768" t="s">
        <v>973</v>
      </c>
      <c r="C768" t="s">
        <v>1066</v>
      </c>
    </row>
    <row r="769" spans="1:3" x14ac:dyDescent="0.3">
      <c r="A769" t="s">
        <v>403</v>
      </c>
      <c r="B769" t="s">
        <v>973</v>
      </c>
      <c r="C769" t="s">
        <v>974</v>
      </c>
    </row>
    <row r="770" spans="1:3" x14ac:dyDescent="0.3">
      <c r="A770" t="s">
        <v>269</v>
      </c>
      <c r="B770" t="s">
        <v>991</v>
      </c>
      <c r="C770" t="s">
        <v>1116</v>
      </c>
    </row>
    <row r="771" spans="1:3" x14ac:dyDescent="0.3">
      <c r="A771" t="s">
        <v>137</v>
      </c>
      <c r="B771" t="s">
        <v>973</v>
      </c>
      <c r="C771" t="s">
        <v>1018</v>
      </c>
    </row>
    <row r="772" spans="1:3" x14ac:dyDescent="0.3">
      <c r="A772" t="s">
        <v>449</v>
      </c>
      <c r="B772" t="s">
        <v>968</v>
      </c>
      <c r="C772" t="s">
        <v>1046</v>
      </c>
    </row>
    <row r="773" spans="1:3" x14ac:dyDescent="0.3">
      <c r="A773" t="s">
        <v>456</v>
      </c>
      <c r="B773" t="s">
        <v>973</v>
      </c>
      <c r="C773" t="s">
        <v>1042</v>
      </c>
    </row>
    <row r="774" spans="1:3" x14ac:dyDescent="0.3">
      <c r="A774" t="s">
        <v>753</v>
      </c>
      <c r="B774" t="s">
        <v>973</v>
      </c>
      <c r="C774" t="s">
        <v>1075</v>
      </c>
    </row>
    <row r="775" spans="1:3" x14ac:dyDescent="0.3">
      <c r="A775" t="s">
        <v>701</v>
      </c>
      <c r="B775" t="s">
        <v>968</v>
      </c>
      <c r="C775" t="s">
        <v>1062</v>
      </c>
    </row>
    <row r="776" spans="1:3" x14ac:dyDescent="0.3">
      <c r="A776" t="s">
        <v>462</v>
      </c>
      <c r="B776" t="s">
        <v>971</v>
      </c>
      <c r="C776" t="s">
        <v>978</v>
      </c>
    </row>
    <row r="777" spans="1:3" x14ac:dyDescent="0.3">
      <c r="A777" t="s">
        <v>23</v>
      </c>
      <c r="B777" t="s">
        <v>975</v>
      </c>
      <c r="C777" t="s">
        <v>977</v>
      </c>
    </row>
    <row r="778" spans="1:3" x14ac:dyDescent="0.3">
      <c r="A778" t="s">
        <v>560</v>
      </c>
      <c r="B778" t="s">
        <v>971</v>
      </c>
      <c r="C778" t="s">
        <v>1089</v>
      </c>
    </row>
    <row r="779" spans="1:3" x14ac:dyDescent="0.3">
      <c r="A779" t="s">
        <v>292</v>
      </c>
      <c r="B779" t="s">
        <v>971</v>
      </c>
      <c r="C779" t="s">
        <v>1045</v>
      </c>
    </row>
    <row r="780" spans="1:3" x14ac:dyDescent="0.3">
      <c r="A780" t="s">
        <v>171</v>
      </c>
      <c r="B780" t="s">
        <v>973</v>
      </c>
      <c r="C780" t="s">
        <v>1080</v>
      </c>
    </row>
    <row r="781" spans="1:3" x14ac:dyDescent="0.3">
      <c r="A781" t="s">
        <v>752</v>
      </c>
      <c r="B781" t="s">
        <v>991</v>
      </c>
      <c r="C781" t="s">
        <v>1034</v>
      </c>
    </row>
    <row r="782" spans="1:3" x14ac:dyDescent="0.3">
      <c r="A782" t="s">
        <v>771</v>
      </c>
      <c r="B782" t="s">
        <v>975</v>
      </c>
      <c r="C782" t="s">
        <v>1130</v>
      </c>
    </row>
    <row r="783" spans="1:3" x14ac:dyDescent="0.3">
      <c r="A783" t="s">
        <v>97</v>
      </c>
      <c r="B783" t="s">
        <v>968</v>
      </c>
      <c r="C783" t="s">
        <v>970</v>
      </c>
    </row>
    <row r="784" spans="1:3" x14ac:dyDescent="0.3">
      <c r="A784" t="s">
        <v>823</v>
      </c>
      <c r="B784" t="s">
        <v>968</v>
      </c>
      <c r="C784" t="s">
        <v>1138</v>
      </c>
    </row>
    <row r="785" spans="1:3" x14ac:dyDescent="0.3">
      <c r="A785" t="s">
        <v>144</v>
      </c>
      <c r="B785" t="s">
        <v>991</v>
      </c>
      <c r="C785" t="s">
        <v>1068</v>
      </c>
    </row>
    <row r="786" spans="1:3" x14ac:dyDescent="0.3">
      <c r="A786" t="s">
        <v>599</v>
      </c>
      <c r="B786" t="s">
        <v>991</v>
      </c>
      <c r="C786" t="s">
        <v>1116</v>
      </c>
    </row>
    <row r="787" spans="1:3" x14ac:dyDescent="0.3">
      <c r="A787" t="s">
        <v>219</v>
      </c>
      <c r="B787" t="s">
        <v>968</v>
      </c>
      <c r="C787" t="s">
        <v>1094</v>
      </c>
    </row>
    <row r="788" spans="1:3" x14ac:dyDescent="0.3">
      <c r="A788" t="s">
        <v>405</v>
      </c>
      <c r="B788" t="s">
        <v>971</v>
      </c>
      <c r="C788" t="s">
        <v>1067</v>
      </c>
    </row>
    <row r="789" spans="1:3" x14ac:dyDescent="0.3">
      <c r="A789" t="s">
        <v>354</v>
      </c>
      <c r="B789" t="s">
        <v>971</v>
      </c>
      <c r="C789" t="s">
        <v>988</v>
      </c>
    </row>
    <row r="790" spans="1:3" x14ac:dyDescent="0.3">
      <c r="A790" t="s">
        <v>181</v>
      </c>
      <c r="B790" t="s">
        <v>973</v>
      </c>
      <c r="C790" t="s">
        <v>1085</v>
      </c>
    </row>
    <row r="791" spans="1:3" x14ac:dyDescent="0.3">
      <c r="A791" t="s">
        <v>397</v>
      </c>
      <c r="B791" t="s">
        <v>991</v>
      </c>
      <c r="C791" t="s">
        <v>1068</v>
      </c>
    </row>
    <row r="792" spans="1:3" x14ac:dyDescent="0.3">
      <c r="A792" t="s">
        <v>476</v>
      </c>
      <c r="B792" t="s">
        <v>975</v>
      </c>
      <c r="C792" t="s">
        <v>1142</v>
      </c>
    </row>
    <row r="793" spans="1:3" x14ac:dyDescent="0.3">
      <c r="A793" t="s">
        <v>777</v>
      </c>
      <c r="B793" t="s">
        <v>973</v>
      </c>
      <c r="C793" t="s">
        <v>1121</v>
      </c>
    </row>
    <row r="794" spans="1:3" x14ac:dyDescent="0.3">
      <c r="A794" t="s">
        <v>52</v>
      </c>
      <c r="B794" t="s">
        <v>991</v>
      </c>
      <c r="C794" t="s">
        <v>1007</v>
      </c>
    </row>
    <row r="795" spans="1:3" x14ac:dyDescent="0.3">
      <c r="A795" t="s">
        <v>555</v>
      </c>
      <c r="B795" t="s">
        <v>973</v>
      </c>
      <c r="C795" t="s">
        <v>1110</v>
      </c>
    </row>
    <row r="796" spans="1:3" x14ac:dyDescent="0.3">
      <c r="A796" t="s">
        <v>439</v>
      </c>
      <c r="B796" t="s">
        <v>968</v>
      </c>
      <c r="C796" t="s">
        <v>1137</v>
      </c>
    </row>
    <row r="797" spans="1:3" x14ac:dyDescent="0.3">
      <c r="A797" t="s">
        <v>204</v>
      </c>
      <c r="B797" t="s">
        <v>991</v>
      </c>
      <c r="C797" t="s">
        <v>1017</v>
      </c>
    </row>
    <row r="798" spans="1:3" x14ac:dyDescent="0.3">
      <c r="A798" t="s">
        <v>697</v>
      </c>
      <c r="B798" t="s">
        <v>971</v>
      </c>
      <c r="C798" t="s">
        <v>1037</v>
      </c>
    </row>
    <row r="799" spans="1:3" x14ac:dyDescent="0.3">
      <c r="A799" t="s">
        <v>787</v>
      </c>
      <c r="B799" t="s">
        <v>973</v>
      </c>
      <c r="C799" t="s">
        <v>1071</v>
      </c>
    </row>
    <row r="800" spans="1:3" x14ac:dyDescent="0.3">
      <c r="A800" t="s">
        <v>807</v>
      </c>
      <c r="B800" t="s">
        <v>975</v>
      </c>
      <c r="C800" t="s">
        <v>1125</v>
      </c>
    </row>
    <row r="801" spans="1:3" x14ac:dyDescent="0.3">
      <c r="A801" t="s">
        <v>260</v>
      </c>
      <c r="B801" t="s">
        <v>973</v>
      </c>
      <c r="C801" t="s">
        <v>1112</v>
      </c>
    </row>
    <row r="802" spans="1:3" x14ac:dyDescent="0.3">
      <c r="A802" t="s">
        <v>691</v>
      </c>
      <c r="B802" t="s">
        <v>968</v>
      </c>
      <c r="C802" t="s">
        <v>1062</v>
      </c>
    </row>
    <row r="803" spans="1:3" x14ac:dyDescent="0.3">
      <c r="A803" t="s">
        <v>41</v>
      </c>
      <c r="B803" t="s">
        <v>973</v>
      </c>
      <c r="C803" t="s">
        <v>990</v>
      </c>
    </row>
    <row r="804" spans="1:3" x14ac:dyDescent="0.3">
      <c r="A804" t="s">
        <v>964</v>
      </c>
      <c r="B804" t="s">
        <v>968</v>
      </c>
      <c r="C804" t="s">
        <v>1153</v>
      </c>
    </row>
    <row r="805" spans="1:3" x14ac:dyDescent="0.3">
      <c r="A805" t="s">
        <v>634</v>
      </c>
      <c r="B805" t="s">
        <v>973</v>
      </c>
      <c r="C805" t="s">
        <v>1061</v>
      </c>
    </row>
    <row r="806" spans="1:3" x14ac:dyDescent="0.3">
      <c r="A806" t="s">
        <v>869</v>
      </c>
      <c r="B806" t="s">
        <v>973</v>
      </c>
      <c r="C806" t="s">
        <v>1015</v>
      </c>
    </row>
    <row r="807" spans="1:3" x14ac:dyDescent="0.3">
      <c r="A807" t="s">
        <v>845</v>
      </c>
      <c r="B807" t="s">
        <v>975</v>
      </c>
      <c r="C807" t="s">
        <v>1065</v>
      </c>
    </row>
    <row r="808" spans="1:3" x14ac:dyDescent="0.3">
      <c r="A808" t="s">
        <v>423</v>
      </c>
      <c r="B808" t="s">
        <v>973</v>
      </c>
      <c r="C808" t="s">
        <v>1011</v>
      </c>
    </row>
    <row r="809" spans="1:3" x14ac:dyDescent="0.3">
      <c r="A809" t="s">
        <v>302</v>
      </c>
      <c r="B809" t="s">
        <v>968</v>
      </c>
      <c r="C809" t="s">
        <v>1123</v>
      </c>
    </row>
    <row r="810" spans="1:3" x14ac:dyDescent="0.3">
      <c r="A810" t="s">
        <v>859</v>
      </c>
      <c r="B810" t="s">
        <v>968</v>
      </c>
      <c r="C810" t="s">
        <v>1119</v>
      </c>
    </row>
    <row r="811" spans="1:3" x14ac:dyDescent="0.3">
      <c r="A811" t="s">
        <v>291</v>
      </c>
      <c r="B811" t="s">
        <v>971</v>
      </c>
      <c r="C811" t="s">
        <v>988</v>
      </c>
    </row>
    <row r="812" spans="1:3" x14ac:dyDescent="0.3">
      <c r="A812" t="s">
        <v>114</v>
      </c>
      <c r="B812" t="s">
        <v>991</v>
      </c>
      <c r="C812" t="s">
        <v>1002</v>
      </c>
    </row>
    <row r="813" spans="1:3" x14ac:dyDescent="0.3">
      <c r="A813" t="s">
        <v>333</v>
      </c>
      <c r="B813" t="s">
        <v>973</v>
      </c>
      <c r="C813" t="s">
        <v>1126</v>
      </c>
    </row>
    <row r="814" spans="1:3" x14ac:dyDescent="0.3">
      <c r="A814" t="s">
        <v>562</v>
      </c>
      <c r="B814" t="s">
        <v>968</v>
      </c>
      <c r="C814" t="s">
        <v>1052</v>
      </c>
    </row>
    <row r="815" spans="1:3" x14ac:dyDescent="0.3">
      <c r="A815" t="s">
        <v>854</v>
      </c>
      <c r="B815" t="s">
        <v>975</v>
      </c>
      <c r="C815" t="s">
        <v>1133</v>
      </c>
    </row>
    <row r="816" spans="1:3" x14ac:dyDescent="0.3">
      <c r="A816" t="s">
        <v>48</v>
      </c>
      <c r="B816" t="s">
        <v>968</v>
      </c>
      <c r="C816" t="s">
        <v>1000</v>
      </c>
    </row>
    <row r="817" spans="1:3" x14ac:dyDescent="0.3">
      <c r="A817" t="s">
        <v>70</v>
      </c>
      <c r="B817" t="s">
        <v>973</v>
      </c>
      <c r="C817" t="s">
        <v>1020</v>
      </c>
    </row>
    <row r="818" spans="1:3" x14ac:dyDescent="0.3">
      <c r="A818" t="s">
        <v>346</v>
      </c>
      <c r="B818" t="s">
        <v>968</v>
      </c>
      <c r="C818" t="s">
        <v>970</v>
      </c>
    </row>
    <row r="819" spans="1:3" x14ac:dyDescent="0.3">
      <c r="A819" t="s">
        <v>180</v>
      </c>
      <c r="B819" t="s">
        <v>973</v>
      </c>
      <c r="C819" t="s">
        <v>994</v>
      </c>
    </row>
    <row r="820" spans="1:3" x14ac:dyDescent="0.3">
      <c r="A820" t="s">
        <v>319</v>
      </c>
      <c r="B820" t="s">
        <v>973</v>
      </c>
      <c r="C820" t="s">
        <v>1050</v>
      </c>
    </row>
    <row r="821" spans="1:3" x14ac:dyDescent="0.3">
      <c r="A821" t="s">
        <v>375</v>
      </c>
      <c r="B821" t="s">
        <v>975</v>
      </c>
      <c r="C821" t="s">
        <v>1130</v>
      </c>
    </row>
    <row r="822" spans="1:3" x14ac:dyDescent="0.3">
      <c r="A822" t="s">
        <v>496</v>
      </c>
      <c r="B822" t="s">
        <v>991</v>
      </c>
      <c r="C822" t="s">
        <v>1027</v>
      </c>
    </row>
    <row r="823" spans="1:3" x14ac:dyDescent="0.3">
      <c r="A823" t="s">
        <v>115</v>
      </c>
      <c r="B823" t="s">
        <v>991</v>
      </c>
      <c r="C823" t="s">
        <v>992</v>
      </c>
    </row>
    <row r="824" spans="1:3" x14ac:dyDescent="0.3">
      <c r="A824" t="s">
        <v>232</v>
      </c>
      <c r="B824" t="s">
        <v>971</v>
      </c>
      <c r="C824" t="s">
        <v>1100</v>
      </c>
    </row>
    <row r="825" spans="1:3" x14ac:dyDescent="0.3">
      <c r="A825" t="s">
        <v>257</v>
      </c>
      <c r="B825" t="s">
        <v>991</v>
      </c>
      <c r="C825" t="s">
        <v>1111</v>
      </c>
    </row>
    <row r="826" spans="1:3" x14ac:dyDescent="0.3">
      <c r="A826" t="s">
        <v>788</v>
      </c>
      <c r="B826" t="s">
        <v>973</v>
      </c>
      <c r="C826" t="s">
        <v>1020</v>
      </c>
    </row>
    <row r="827" spans="1:3" x14ac:dyDescent="0.3">
      <c r="A827" t="s">
        <v>467</v>
      </c>
      <c r="B827" t="s">
        <v>991</v>
      </c>
      <c r="C827" t="s">
        <v>1005</v>
      </c>
    </row>
    <row r="828" spans="1:3" x14ac:dyDescent="0.3">
      <c r="A828" t="s">
        <v>639</v>
      </c>
      <c r="B828" t="s">
        <v>973</v>
      </c>
      <c r="C828" t="s">
        <v>1061</v>
      </c>
    </row>
    <row r="829" spans="1:3" x14ac:dyDescent="0.3">
      <c r="A829" t="s">
        <v>182</v>
      </c>
      <c r="B829" t="s">
        <v>973</v>
      </c>
      <c r="C829" t="s">
        <v>1086</v>
      </c>
    </row>
    <row r="830" spans="1:3" x14ac:dyDescent="0.3">
      <c r="A830" t="s">
        <v>882</v>
      </c>
      <c r="B830" t="s">
        <v>975</v>
      </c>
      <c r="C830" t="s">
        <v>1133</v>
      </c>
    </row>
    <row r="831" spans="1:3" x14ac:dyDescent="0.3">
      <c r="A831" t="s">
        <v>343</v>
      </c>
      <c r="B831" t="s">
        <v>973</v>
      </c>
      <c r="C831" t="s">
        <v>1084</v>
      </c>
    </row>
    <row r="832" spans="1:3" x14ac:dyDescent="0.3">
      <c r="A832" t="s">
        <v>909</v>
      </c>
      <c r="B832" t="s">
        <v>981</v>
      </c>
      <c r="C832" t="s">
        <v>982</v>
      </c>
    </row>
    <row r="833" spans="1:3" x14ac:dyDescent="0.3">
      <c r="A833" t="s">
        <v>224</v>
      </c>
      <c r="B833" t="s">
        <v>991</v>
      </c>
      <c r="C833" t="s">
        <v>1059</v>
      </c>
    </row>
    <row r="834" spans="1:3" x14ac:dyDescent="0.3">
      <c r="A834" t="s">
        <v>370</v>
      </c>
      <c r="B834" t="s">
        <v>968</v>
      </c>
      <c r="C834" t="s">
        <v>1073</v>
      </c>
    </row>
    <row r="835" spans="1:3" x14ac:dyDescent="0.3">
      <c r="A835" t="s">
        <v>659</v>
      </c>
      <c r="B835" t="s">
        <v>973</v>
      </c>
      <c r="C835" t="s">
        <v>1083</v>
      </c>
    </row>
    <row r="836" spans="1:3" x14ac:dyDescent="0.3">
      <c r="A836" t="s">
        <v>139</v>
      </c>
      <c r="B836" t="s">
        <v>975</v>
      </c>
      <c r="C836" t="s">
        <v>1065</v>
      </c>
    </row>
    <row r="837" spans="1:3" x14ac:dyDescent="0.3">
      <c r="A837" t="s">
        <v>90</v>
      </c>
      <c r="B837" t="s">
        <v>991</v>
      </c>
      <c r="C837" t="s">
        <v>1035</v>
      </c>
    </row>
    <row r="838" spans="1:3" x14ac:dyDescent="0.3">
      <c r="A838" t="s">
        <v>956</v>
      </c>
      <c r="B838" t="s">
        <v>973</v>
      </c>
      <c r="C838" t="s">
        <v>994</v>
      </c>
    </row>
    <row r="839" spans="1:3" x14ac:dyDescent="0.3">
      <c r="A839" t="s">
        <v>401</v>
      </c>
      <c r="B839" t="s">
        <v>971</v>
      </c>
      <c r="C839" t="s">
        <v>1001</v>
      </c>
    </row>
    <row r="840" spans="1:3" x14ac:dyDescent="0.3">
      <c r="A840" t="s">
        <v>627</v>
      </c>
      <c r="B840" t="s">
        <v>973</v>
      </c>
      <c r="C840" t="s">
        <v>1028</v>
      </c>
    </row>
    <row r="841" spans="1:3" x14ac:dyDescent="0.3">
      <c r="A841" t="s">
        <v>172</v>
      </c>
      <c r="B841" t="s">
        <v>973</v>
      </c>
      <c r="C841" t="s">
        <v>1081</v>
      </c>
    </row>
    <row r="842" spans="1:3" x14ac:dyDescent="0.3">
      <c r="A842" t="s">
        <v>756</v>
      </c>
      <c r="B842" t="s">
        <v>973</v>
      </c>
      <c r="C842" t="s">
        <v>1031</v>
      </c>
    </row>
    <row r="843" spans="1:3" x14ac:dyDescent="0.3">
      <c r="A843" t="s">
        <v>556</v>
      </c>
      <c r="B843" t="s">
        <v>971</v>
      </c>
      <c r="C843" t="s">
        <v>1113</v>
      </c>
    </row>
    <row r="844" spans="1:3" x14ac:dyDescent="0.3">
      <c r="A844" t="s">
        <v>921</v>
      </c>
      <c r="B844" t="s">
        <v>991</v>
      </c>
      <c r="C844" t="s">
        <v>1117</v>
      </c>
    </row>
    <row r="845" spans="1:3" x14ac:dyDescent="0.3">
      <c r="A845" t="s">
        <v>464</v>
      </c>
      <c r="B845" t="s">
        <v>991</v>
      </c>
      <c r="C845" t="s">
        <v>1101</v>
      </c>
    </row>
    <row r="846" spans="1:3" x14ac:dyDescent="0.3">
      <c r="A846" t="s">
        <v>26</v>
      </c>
      <c r="B846" t="s">
        <v>973</v>
      </c>
      <c r="C846" t="s">
        <v>983</v>
      </c>
    </row>
    <row r="847" spans="1:3" x14ac:dyDescent="0.3">
      <c r="A847" t="s">
        <v>174</v>
      </c>
      <c r="B847" t="s">
        <v>973</v>
      </c>
      <c r="C847" t="s">
        <v>994</v>
      </c>
    </row>
    <row r="848" spans="1:3" x14ac:dyDescent="0.3">
      <c r="A848" t="s">
        <v>764</v>
      </c>
      <c r="B848" t="s">
        <v>968</v>
      </c>
      <c r="C848" t="s">
        <v>1062</v>
      </c>
    </row>
    <row r="849" spans="1:3" x14ac:dyDescent="0.3">
      <c r="A849" t="s">
        <v>259</v>
      </c>
      <c r="B849" t="s">
        <v>971</v>
      </c>
      <c r="C849" t="s">
        <v>972</v>
      </c>
    </row>
    <row r="850" spans="1:3" x14ac:dyDescent="0.3">
      <c r="A850" t="s">
        <v>287</v>
      </c>
      <c r="B850" t="s">
        <v>973</v>
      </c>
      <c r="C850" t="s">
        <v>1121</v>
      </c>
    </row>
    <row r="851" spans="1:3" x14ac:dyDescent="0.3">
      <c r="A851" t="s">
        <v>430</v>
      </c>
      <c r="B851" t="s">
        <v>968</v>
      </c>
      <c r="C851" t="s">
        <v>1118</v>
      </c>
    </row>
    <row r="852" spans="1:3" x14ac:dyDescent="0.3">
      <c r="A852" t="s">
        <v>685</v>
      </c>
      <c r="B852" t="s">
        <v>991</v>
      </c>
      <c r="C852" t="s">
        <v>1049</v>
      </c>
    </row>
    <row r="853" spans="1:3" x14ac:dyDescent="0.3">
      <c r="A853" t="s">
        <v>564</v>
      </c>
      <c r="B853" t="s">
        <v>968</v>
      </c>
      <c r="C853" t="s">
        <v>1040</v>
      </c>
    </row>
    <row r="854" spans="1:3" x14ac:dyDescent="0.3">
      <c r="A854" t="s">
        <v>941</v>
      </c>
      <c r="B854" t="s">
        <v>971</v>
      </c>
      <c r="C854" t="s">
        <v>1012</v>
      </c>
    </row>
    <row r="855" spans="1:3" x14ac:dyDescent="0.3">
      <c r="A855" t="s">
        <v>463</v>
      </c>
      <c r="B855" t="s">
        <v>981</v>
      </c>
      <c r="C855" t="s">
        <v>1128</v>
      </c>
    </row>
    <row r="856" spans="1:3" x14ac:dyDescent="0.3">
      <c r="A856" t="s">
        <v>676</v>
      </c>
      <c r="B856" t="s">
        <v>973</v>
      </c>
      <c r="C856" t="s">
        <v>1085</v>
      </c>
    </row>
    <row r="857" spans="1:3" x14ac:dyDescent="0.3">
      <c r="A857" t="s">
        <v>770</v>
      </c>
      <c r="B857" t="s">
        <v>991</v>
      </c>
      <c r="C857" t="s">
        <v>1049</v>
      </c>
    </row>
    <row r="858" spans="1:3" x14ac:dyDescent="0.3">
      <c r="A858" t="s">
        <v>96</v>
      </c>
      <c r="B858" t="s">
        <v>973</v>
      </c>
      <c r="C858" t="s">
        <v>1006</v>
      </c>
    </row>
    <row r="859" spans="1:3" x14ac:dyDescent="0.3">
      <c r="A859" t="s">
        <v>742</v>
      </c>
      <c r="B859" t="s">
        <v>968</v>
      </c>
      <c r="C859" t="s">
        <v>1026</v>
      </c>
    </row>
    <row r="860" spans="1:3" x14ac:dyDescent="0.3">
      <c r="A860" t="s">
        <v>531</v>
      </c>
      <c r="B860" t="s">
        <v>973</v>
      </c>
      <c r="C860" t="s">
        <v>983</v>
      </c>
    </row>
    <row r="861" spans="1:3" x14ac:dyDescent="0.3">
      <c r="A861" t="s">
        <v>947</v>
      </c>
      <c r="B861" t="s">
        <v>971</v>
      </c>
      <c r="C861" t="s">
        <v>1045</v>
      </c>
    </row>
    <row r="862" spans="1:3" x14ac:dyDescent="0.3">
      <c r="A862" t="s">
        <v>58</v>
      </c>
      <c r="B862" t="s">
        <v>971</v>
      </c>
      <c r="C862" t="s">
        <v>1012</v>
      </c>
    </row>
    <row r="863" spans="1:3" x14ac:dyDescent="0.3">
      <c r="A863" t="s">
        <v>671</v>
      </c>
      <c r="B863" t="s">
        <v>991</v>
      </c>
      <c r="C863" t="s">
        <v>1098</v>
      </c>
    </row>
    <row r="864" spans="1:3" x14ac:dyDescent="0.3">
      <c r="A864" t="s">
        <v>87</v>
      </c>
      <c r="B864" t="s">
        <v>973</v>
      </c>
      <c r="C864" t="s">
        <v>999</v>
      </c>
    </row>
    <row r="865" spans="1:3" x14ac:dyDescent="0.3">
      <c r="A865" t="s">
        <v>534</v>
      </c>
      <c r="B865" t="s">
        <v>968</v>
      </c>
      <c r="C865" t="s">
        <v>1026</v>
      </c>
    </row>
    <row r="866" spans="1:3" x14ac:dyDescent="0.3">
      <c r="A866" t="s">
        <v>695</v>
      </c>
      <c r="B866" t="s">
        <v>973</v>
      </c>
      <c r="C866" t="s">
        <v>974</v>
      </c>
    </row>
    <row r="867" spans="1:3" x14ac:dyDescent="0.3">
      <c r="A867" t="s">
        <v>819</v>
      </c>
      <c r="B867" t="s">
        <v>968</v>
      </c>
      <c r="C867" t="s">
        <v>1131</v>
      </c>
    </row>
    <row r="868" spans="1:3" x14ac:dyDescent="0.3">
      <c r="A868" t="s">
        <v>216</v>
      </c>
      <c r="B868" t="s">
        <v>968</v>
      </c>
      <c r="C868" t="s">
        <v>1097</v>
      </c>
    </row>
    <row r="869" spans="1:3" x14ac:dyDescent="0.3">
      <c r="A869" t="s">
        <v>446</v>
      </c>
      <c r="B869" t="s">
        <v>975</v>
      </c>
      <c r="C869" t="s">
        <v>1129</v>
      </c>
    </row>
    <row r="870" spans="1:3" x14ac:dyDescent="0.3">
      <c r="A870" t="s">
        <v>427</v>
      </c>
      <c r="B870" t="s">
        <v>973</v>
      </c>
      <c r="C870" t="s">
        <v>1076</v>
      </c>
    </row>
    <row r="871" spans="1:3" x14ac:dyDescent="0.3">
      <c r="A871" t="s">
        <v>461</v>
      </c>
      <c r="B871" t="s">
        <v>973</v>
      </c>
      <c r="C871" t="s">
        <v>998</v>
      </c>
    </row>
    <row r="872" spans="1:3" x14ac:dyDescent="0.3">
      <c r="A872" t="s">
        <v>117</v>
      </c>
      <c r="B872" t="s">
        <v>991</v>
      </c>
      <c r="C872" t="s">
        <v>1007</v>
      </c>
    </row>
    <row r="873" spans="1:3" x14ac:dyDescent="0.3">
      <c r="A873" t="s">
        <v>702</v>
      </c>
      <c r="B873" t="s">
        <v>991</v>
      </c>
      <c r="C873" t="s">
        <v>1008</v>
      </c>
    </row>
    <row r="874" spans="1:3" x14ac:dyDescent="0.3">
      <c r="A874" t="s">
        <v>818</v>
      </c>
      <c r="B874" t="s">
        <v>971</v>
      </c>
      <c r="C874" t="s">
        <v>1139</v>
      </c>
    </row>
    <row r="875" spans="1:3" x14ac:dyDescent="0.3">
      <c r="A875" t="s">
        <v>368</v>
      </c>
      <c r="B875" t="s">
        <v>973</v>
      </c>
      <c r="C875" t="s">
        <v>1053</v>
      </c>
    </row>
    <row r="876" spans="1:3" x14ac:dyDescent="0.3">
      <c r="A876" t="s">
        <v>21</v>
      </c>
      <c r="B876" t="s">
        <v>971</v>
      </c>
      <c r="C876" t="s">
        <v>978</v>
      </c>
    </row>
    <row r="877" spans="1:3" x14ac:dyDescent="0.3">
      <c r="A877" t="s">
        <v>250</v>
      </c>
      <c r="B877" t="s">
        <v>973</v>
      </c>
      <c r="C877" t="s">
        <v>1071</v>
      </c>
    </row>
    <row r="878" spans="1:3" x14ac:dyDescent="0.3">
      <c r="A878" t="s">
        <v>674</v>
      </c>
      <c r="B878" t="s">
        <v>973</v>
      </c>
      <c r="C878" t="s">
        <v>1084</v>
      </c>
    </row>
    <row r="879" spans="1:3" x14ac:dyDescent="0.3">
      <c r="A879" t="s">
        <v>908</v>
      </c>
      <c r="B879" t="s">
        <v>973</v>
      </c>
      <c r="C879" t="s">
        <v>1072</v>
      </c>
    </row>
    <row r="880" spans="1:3" x14ac:dyDescent="0.3">
      <c r="A880" t="s">
        <v>904</v>
      </c>
      <c r="B880" t="s">
        <v>973</v>
      </c>
      <c r="C880" t="s">
        <v>1126</v>
      </c>
    </row>
    <row r="881" spans="1:3" x14ac:dyDescent="0.3">
      <c r="A881" t="s">
        <v>207</v>
      </c>
      <c r="B881" t="s">
        <v>991</v>
      </c>
      <c r="C881" t="s">
        <v>1074</v>
      </c>
    </row>
    <row r="882" spans="1:3" x14ac:dyDescent="0.3">
      <c r="A882" t="s">
        <v>183</v>
      </c>
      <c r="B882" t="s">
        <v>973</v>
      </c>
      <c r="C882" t="s">
        <v>1064</v>
      </c>
    </row>
    <row r="883" spans="1:3" x14ac:dyDescent="0.3">
      <c r="A883" t="s">
        <v>888</v>
      </c>
      <c r="B883" t="s">
        <v>973</v>
      </c>
      <c r="C883" t="s">
        <v>1088</v>
      </c>
    </row>
    <row r="884" spans="1:3" x14ac:dyDescent="0.3">
      <c r="A884" t="s">
        <v>94</v>
      </c>
      <c r="B884" t="s">
        <v>968</v>
      </c>
      <c r="C884" t="s">
        <v>1039</v>
      </c>
    </row>
    <row r="885" spans="1:3" x14ac:dyDescent="0.3">
      <c r="A885" t="s">
        <v>162</v>
      </c>
      <c r="B885" t="s">
        <v>973</v>
      </c>
      <c r="C885" t="s">
        <v>1047</v>
      </c>
    </row>
    <row r="886" spans="1:3" x14ac:dyDescent="0.3">
      <c r="A886" t="s">
        <v>579</v>
      </c>
      <c r="B886" t="s">
        <v>975</v>
      </c>
      <c r="C886" t="s">
        <v>1142</v>
      </c>
    </row>
    <row r="887" spans="1:3" x14ac:dyDescent="0.3">
      <c r="A887" t="s">
        <v>167</v>
      </c>
      <c r="B887" t="s">
        <v>973</v>
      </c>
      <c r="C887" t="s">
        <v>1018</v>
      </c>
    </row>
    <row r="888" spans="1:3" x14ac:dyDescent="0.3">
      <c r="A888" t="s">
        <v>866</v>
      </c>
      <c r="B888" t="s">
        <v>973</v>
      </c>
      <c r="C888" t="s">
        <v>1041</v>
      </c>
    </row>
    <row r="889" spans="1:3" x14ac:dyDescent="0.3">
      <c r="A889" t="s">
        <v>293</v>
      </c>
      <c r="B889" t="s">
        <v>973</v>
      </c>
      <c r="C889" t="s">
        <v>1122</v>
      </c>
    </row>
    <row r="890" spans="1:3" x14ac:dyDescent="0.3">
      <c r="A890" t="s">
        <v>66</v>
      </c>
      <c r="B890" t="s">
        <v>973</v>
      </c>
      <c r="C890" t="s">
        <v>1018</v>
      </c>
    </row>
    <row r="891" spans="1:3" x14ac:dyDescent="0.3">
      <c r="A891" t="s">
        <v>380</v>
      </c>
      <c r="B891" t="s">
        <v>968</v>
      </c>
      <c r="C891" t="s">
        <v>1051</v>
      </c>
    </row>
    <row r="892" spans="1:3" x14ac:dyDescent="0.3">
      <c r="A892" t="s">
        <v>545</v>
      </c>
      <c r="B892" t="s">
        <v>968</v>
      </c>
      <c r="C892" t="s">
        <v>1057</v>
      </c>
    </row>
    <row r="893" spans="1:3" x14ac:dyDescent="0.3">
      <c r="A893" t="s">
        <v>311</v>
      </c>
      <c r="B893" t="s">
        <v>991</v>
      </c>
      <c r="C893" t="s">
        <v>1098</v>
      </c>
    </row>
    <row r="894" spans="1:3" x14ac:dyDescent="0.3">
      <c r="A894" t="s">
        <v>378</v>
      </c>
      <c r="B894" t="s">
        <v>973</v>
      </c>
      <c r="C894" t="s">
        <v>1120</v>
      </c>
    </row>
    <row r="895" spans="1:3" x14ac:dyDescent="0.3">
      <c r="A895" t="s">
        <v>658</v>
      </c>
      <c r="B895" t="s">
        <v>975</v>
      </c>
      <c r="C895" t="s">
        <v>1056</v>
      </c>
    </row>
    <row r="896" spans="1:3" x14ac:dyDescent="0.3">
      <c r="A896" t="s">
        <v>247</v>
      </c>
      <c r="B896" t="s">
        <v>973</v>
      </c>
      <c r="C896" t="s">
        <v>1096</v>
      </c>
    </row>
    <row r="897" spans="1:3" x14ac:dyDescent="0.3">
      <c r="A897" t="s">
        <v>334</v>
      </c>
      <c r="B897" t="s">
        <v>968</v>
      </c>
      <c r="C897" t="s">
        <v>1127</v>
      </c>
    </row>
    <row r="898" spans="1:3" x14ac:dyDescent="0.3">
      <c r="A898" t="s">
        <v>136</v>
      </c>
      <c r="B898" t="s">
        <v>973</v>
      </c>
      <c r="C898" t="s">
        <v>1063</v>
      </c>
    </row>
    <row r="899" spans="1:3" x14ac:dyDescent="0.3">
      <c r="A899" t="s">
        <v>840</v>
      </c>
      <c r="B899" t="s">
        <v>968</v>
      </c>
      <c r="C899" t="s">
        <v>1105</v>
      </c>
    </row>
    <row r="900" spans="1:3" x14ac:dyDescent="0.3">
      <c r="A900" t="s">
        <v>733</v>
      </c>
      <c r="B900" t="s">
        <v>973</v>
      </c>
      <c r="C900" t="s">
        <v>1058</v>
      </c>
    </row>
    <row r="901" spans="1:3" x14ac:dyDescent="0.3">
      <c r="A901" t="s">
        <v>796</v>
      </c>
      <c r="B901" t="s">
        <v>973</v>
      </c>
      <c r="C901" t="s">
        <v>1047</v>
      </c>
    </row>
    <row r="902" spans="1:3" x14ac:dyDescent="0.3">
      <c r="A902" t="s">
        <v>389</v>
      </c>
      <c r="B902" t="s">
        <v>973</v>
      </c>
      <c r="C902" t="s">
        <v>990</v>
      </c>
    </row>
    <row r="903" spans="1:3" x14ac:dyDescent="0.3">
      <c r="A903" t="s">
        <v>878</v>
      </c>
      <c r="B903" t="s">
        <v>973</v>
      </c>
      <c r="C903" t="s">
        <v>1136</v>
      </c>
    </row>
    <row r="904" spans="1:3" x14ac:dyDescent="0.3">
      <c r="A904" t="s">
        <v>237</v>
      </c>
      <c r="B904" t="s">
        <v>973</v>
      </c>
      <c r="C904" t="s">
        <v>1009</v>
      </c>
    </row>
    <row r="905" spans="1:3" x14ac:dyDescent="0.3">
      <c r="A905" t="s">
        <v>703</v>
      </c>
      <c r="B905" t="s">
        <v>991</v>
      </c>
      <c r="C905" t="s">
        <v>1101</v>
      </c>
    </row>
    <row r="906" spans="1:3" x14ac:dyDescent="0.3">
      <c r="A906" t="s">
        <v>416</v>
      </c>
      <c r="B906" t="s">
        <v>968</v>
      </c>
      <c r="C906" t="s">
        <v>1073</v>
      </c>
    </row>
    <row r="907" spans="1:3" x14ac:dyDescent="0.3">
      <c r="A907" t="s">
        <v>78</v>
      </c>
      <c r="B907" t="s">
        <v>973</v>
      </c>
      <c r="C907" t="s">
        <v>1028</v>
      </c>
    </row>
    <row r="908" spans="1:3" x14ac:dyDescent="0.3">
      <c r="A908" t="s">
        <v>512</v>
      </c>
      <c r="B908" t="s">
        <v>973</v>
      </c>
      <c r="C908" t="s">
        <v>1004</v>
      </c>
    </row>
    <row r="909" spans="1:3" x14ac:dyDescent="0.3">
      <c r="A909" t="s">
        <v>161</v>
      </c>
      <c r="B909" t="s">
        <v>973</v>
      </c>
      <c r="C909" t="s">
        <v>1060</v>
      </c>
    </row>
    <row r="910" spans="1:3" x14ac:dyDescent="0.3">
      <c r="A910" t="s">
        <v>280</v>
      </c>
      <c r="B910" t="s">
        <v>973</v>
      </c>
      <c r="C910" t="s">
        <v>1075</v>
      </c>
    </row>
    <row r="911" spans="1:3" x14ac:dyDescent="0.3">
      <c r="A911" t="s">
        <v>83</v>
      </c>
      <c r="B911" t="s">
        <v>991</v>
      </c>
      <c r="C911" t="s">
        <v>1024</v>
      </c>
    </row>
    <row r="912" spans="1:3" x14ac:dyDescent="0.3">
      <c r="A912" t="s">
        <v>479</v>
      </c>
      <c r="B912" t="s">
        <v>991</v>
      </c>
      <c r="C912" t="s">
        <v>1114</v>
      </c>
    </row>
    <row r="913" spans="1:3" x14ac:dyDescent="0.3">
      <c r="A913" t="s">
        <v>253</v>
      </c>
      <c r="B913" t="s">
        <v>973</v>
      </c>
      <c r="C913" t="s">
        <v>1110</v>
      </c>
    </row>
    <row r="914" spans="1:3" x14ac:dyDescent="0.3">
      <c r="A914" t="s">
        <v>306</v>
      </c>
      <c r="B914" t="s">
        <v>981</v>
      </c>
      <c r="C914" t="s">
        <v>982</v>
      </c>
    </row>
    <row r="915" spans="1:3" x14ac:dyDescent="0.3">
      <c r="A915" t="s">
        <v>856</v>
      </c>
      <c r="B915" t="s">
        <v>968</v>
      </c>
      <c r="C915" t="s">
        <v>1143</v>
      </c>
    </row>
    <row r="916" spans="1:3" x14ac:dyDescent="0.3">
      <c r="A916" t="s">
        <v>649</v>
      </c>
      <c r="B916" t="s">
        <v>968</v>
      </c>
      <c r="C916" t="s">
        <v>1036</v>
      </c>
    </row>
    <row r="917" spans="1:3" x14ac:dyDescent="0.3">
      <c r="A917" t="s">
        <v>694</v>
      </c>
      <c r="B917" t="s">
        <v>968</v>
      </c>
      <c r="C917" t="s">
        <v>1091</v>
      </c>
    </row>
    <row r="918" spans="1:3" x14ac:dyDescent="0.3">
      <c r="A918" t="s">
        <v>519</v>
      </c>
      <c r="B918" t="s">
        <v>973</v>
      </c>
      <c r="C918" t="s">
        <v>1112</v>
      </c>
    </row>
    <row r="919" spans="1:3" x14ac:dyDescent="0.3">
      <c r="A919" t="s">
        <v>648</v>
      </c>
      <c r="B919" t="s">
        <v>973</v>
      </c>
      <c r="C919" t="s">
        <v>1106</v>
      </c>
    </row>
    <row r="920" spans="1:3" x14ac:dyDescent="0.3">
      <c r="A920" t="s">
        <v>373</v>
      </c>
      <c r="B920" t="s">
        <v>975</v>
      </c>
      <c r="C920" t="s">
        <v>976</v>
      </c>
    </row>
    <row r="921" spans="1:3" x14ac:dyDescent="0.3">
      <c r="A921" t="s">
        <v>565</v>
      </c>
      <c r="B921" t="s">
        <v>973</v>
      </c>
      <c r="C921" t="s">
        <v>1110</v>
      </c>
    </row>
    <row r="922" spans="1:3" x14ac:dyDescent="0.3">
      <c r="A922" t="s">
        <v>784</v>
      </c>
      <c r="B922" t="s">
        <v>973</v>
      </c>
      <c r="C922" t="s">
        <v>1018</v>
      </c>
    </row>
    <row r="923" spans="1:3" x14ac:dyDescent="0.3">
      <c r="A923" t="s">
        <v>942</v>
      </c>
      <c r="B923" t="s">
        <v>973</v>
      </c>
      <c r="C923" t="s">
        <v>1151</v>
      </c>
    </row>
    <row r="924" spans="1:3" x14ac:dyDescent="0.3">
      <c r="A924" t="s">
        <v>681</v>
      </c>
      <c r="B924" t="s">
        <v>991</v>
      </c>
      <c r="C924" t="s">
        <v>1035</v>
      </c>
    </row>
    <row r="925" spans="1:3" x14ac:dyDescent="0.3">
      <c r="A925" t="s">
        <v>501</v>
      </c>
      <c r="B925" t="s">
        <v>973</v>
      </c>
      <c r="C925" t="s">
        <v>1083</v>
      </c>
    </row>
    <row r="926" spans="1:3" x14ac:dyDescent="0.3">
      <c r="A926" t="s">
        <v>506</v>
      </c>
      <c r="B926" t="s">
        <v>971</v>
      </c>
      <c r="C926" t="s">
        <v>1139</v>
      </c>
    </row>
    <row r="927" spans="1:3" x14ac:dyDescent="0.3">
      <c r="A927" t="s">
        <v>261</v>
      </c>
      <c r="B927" t="s">
        <v>971</v>
      </c>
      <c r="C927" t="s">
        <v>1113</v>
      </c>
    </row>
    <row r="928" spans="1:3" x14ac:dyDescent="0.3">
      <c r="A928" t="s">
        <v>760</v>
      </c>
      <c r="B928" t="s">
        <v>991</v>
      </c>
      <c r="C928" t="s">
        <v>1116</v>
      </c>
    </row>
    <row r="929" spans="1:3" x14ac:dyDescent="0.3">
      <c r="A929" t="s">
        <v>584</v>
      </c>
      <c r="B929" t="s">
        <v>991</v>
      </c>
      <c r="C929" t="s">
        <v>1005</v>
      </c>
    </row>
    <row r="930" spans="1:3" x14ac:dyDescent="0.3">
      <c r="A930" t="s">
        <v>341</v>
      </c>
      <c r="B930" t="s">
        <v>991</v>
      </c>
      <c r="C930" t="s">
        <v>1034</v>
      </c>
    </row>
    <row r="931" spans="1:3" x14ac:dyDescent="0.3">
      <c r="A931" t="s">
        <v>345</v>
      </c>
      <c r="B931" t="s">
        <v>973</v>
      </c>
      <c r="C931" t="s">
        <v>1025</v>
      </c>
    </row>
    <row r="932" spans="1:3" x14ac:dyDescent="0.3">
      <c r="A932" t="s">
        <v>800</v>
      </c>
      <c r="B932" t="s">
        <v>973</v>
      </c>
      <c r="C932" t="s">
        <v>1058</v>
      </c>
    </row>
    <row r="933" spans="1:3" x14ac:dyDescent="0.3">
      <c r="A933" t="s">
        <v>170</v>
      </c>
      <c r="B933" t="s">
        <v>973</v>
      </c>
      <c r="C933" t="s">
        <v>1079</v>
      </c>
    </row>
    <row r="934" spans="1:3" x14ac:dyDescent="0.3">
      <c r="A934" t="s">
        <v>808</v>
      </c>
      <c r="B934" t="s">
        <v>971</v>
      </c>
      <c r="C934" t="s">
        <v>1012</v>
      </c>
    </row>
    <row r="935" spans="1:3" x14ac:dyDescent="0.3">
      <c r="A935" t="s">
        <v>846</v>
      </c>
      <c r="B935" t="s">
        <v>971</v>
      </c>
      <c r="C935" t="s">
        <v>988</v>
      </c>
    </row>
    <row r="936" spans="1:3" x14ac:dyDescent="0.3">
      <c r="A936" t="s">
        <v>944</v>
      </c>
      <c r="B936" t="s">
        <v>991</v>
      </c>
      <c r="C936" t="s">
        <v>1017</v>
      </c>
    </row>
    <row r="937" spans="1:3" x14ac:dyDescent="0.3">
      <c r="A937" t="s">
        <v>366</v>
      </c>
      <c r="B937" t="s">
        <v>973</v>
      </c>
      <c r="C937" t="s">
        <v>1126</v>
      </c>
    </row>
    <row r="938" spans="1:3" x14ac:dyDescent="0.3">
      <c r="A938" t="s">
        <v>212</v>
      </c>
      <c r="B938" t="s">
        <v>973</v>
      </c>
      <c r="C938" t="s">
        <v>1081</v>
      </c>
    </row>
    <row r="939" spans="1:3" x14ac:dyDescent="0.3">
      <c r="A939" t="s">
        <v>926</v>
      </c>
      <c r="B939" t="s">
        <v>973</v>
      </c>
      <c r="C939" t="s">
        <v>987</v>
      </c>
    </row>
    <row r="940" spans="1:3" x14ac:dyDescent="0.3">
      <c r="A940" t="s">
        <v>483</v>
      </c>
      <c r="B940" t="s">
        <v>973</v>
      </c>
      <c r="C940" t="s">
        <v>1009</v>
      </c>
    </row>
    <row r="941" spans="1:3" x14ac:dyDescent="0.3">
      <c r="A941" t="s">
        <v>324</v>
      </c>
      <c r="B941" t="s">
        <v>968</v>
      </c>
      <c r="C941" t="s">
        <v>1107</v>
      </c>
    </row>
    <row r="942" spans="1:3" x14ac:dyDescent="0.3">
      <c r="A942" t="s">
        <v>580</v>
      </c>
      <c r="B942" t="s">
        <v>973</v>
      </c>
      <c r="C942" t="s">
        <v>1122</v>
      </c>
    </row>
    <row r="943" spans="1:3" x14ac:dyDescent="0.3">
      <c r="A943" t="s">
        <v>422</v>
      </c>
      <c r="B943" t="s">
        <v>971</v>
      </c>
      <c r="C943" t="s">
        <v>980</v>
      </c>
    </row>
    <row r="944" spans="1:3" x14ac:dyDescent="0.3">
      <c r="A944" t="s">
        <v>522</v>
      </c>
      <c r="B944" t="s">
        <v>968</v>
      </c>
      <c r="C944" t="s">
        <v>1107</v>
      </c>
    </row>
    <row r="945" spans="1:3" x14ac:dyDescent="0.3">
      <c r="A945" t="s">
        <v>146</v>
      </c>
      <c r="B945" t="s">
        <v>973</v>
      </c>
      <c r="C945" t="s">
        <v>1009</v>
      </c>
    </row>
    <row r="946" spans="1:3" x14ac:dyDescent="0.3">
      <c r="A946" t="s">
        <v>301</v>
      </c>
      <c r="B946" t="s">
        <v>968</v>
      </c>
      <c r="C946" t="s">
        <v>1036</v>
      </c>
    </row>
    <row r="947" spans="1:3" x14ac:dyDescent="0.3">
      <c r="A947" t="s">
        <v>211</v>
      </c>
      <c r="B947" t="s">
        <v>991</v>
      </c>
      <c r="C947" t="s">
        <v>995</v>
      </c>
    </row>
    <row r="948" spans="1:3" x14ac:dyDescent="0.3">
      <c r="A948" t="s">
        <v>226</v>
      </c>
      <c r="B948" t="s">
        <v>968</v>
      </c>
      <c r="C948" t="s">
        <v>1093</v>
      </c>
    </row>
    <row r="949" spans="1:3" x14ac:dyDescent="0.3">
      <c r="A949" t="s">
        <v>772</v>
      </c>
      <c r="B949" t="s">
        <v>968</v>
      </c>
      <c r="C949" t="s">
        <v>1140</v>
      </c>
    </row>
    <row r="950" spans="1:3" x14ac:dyDescent="0.3">
      <c r="A950" t="s">
        <v>194</v>
      </c>
      <c r="B950" t="s">
        <v>968</v>
      </c>
      <c r="C950" t="s">
        <v>1091</v>
      </c>
    </row>
    <row r="951" spans="1:3" x14ac:dyDescent="0.3">
      <c r="A951" t="s">
        <v>857</v>
      </c>
      <c r="B951" t="s">
        <v>981</v>
      </c>
      <c r="C951" t="s">
        <v>982</v>
      </c>
    </row>
    <row r="952" spans="1:3" x14ac:dyDescent="0.3">
      <c r="A952" t="s">
        <v>641</v>
      </c>
      <c r="B952" t="s">
        <v>991</v>
      </c>
      <c r="C952" t="s">
        <v>1114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8476-92B7-4A0E-8CB7-8245AD081C52}">
  <dimension ref="A1:B13"/>
  <sheetViews>
    <sheetView workbookViewId="0">
      <selection activeCell="D32" sqref="D32"/>
    </sheetView>
  </sheetViews>
  <sheetFormatPr baseColWidth="10" defaultRowHeight="14.4" x14ac:dyDescent="0.3"/>
  <cols>
    <col min="1" max="1" width="6.88671875" bestFit="1" customWidth="1"/>
    <col min="2" max="2" width="17.109375" bestFit="1" customWidth="1"/>
  </cols>
  <sheetData>
    <row r="1" spans="1:2" x14ac:dyDescent="0.3">
      <c r="A1" t="s">
        <v>1158</v>
      </c>
      <c r="B1" t="s">
        <v>1159</v>
      </c>
    </row>
    <row r="2" spans="1:2" x14ac:dyDescent="0.3">
      <c r="A2" t="s">
        <v>1160</v>
      </c>
      <c r="B2" t="s">
        <v>1161</v>
      </c>
    </row>
    <row r="3" spans="1:2" x14ac:dyDescent="0.3">
      <c r="A3" t="s">
        <v>1162</v>
      </c>
      <c r="B3" t="s">
        <v>1163</v>
      </c>
    </row>
    <row r="4" spans="1:2" x14ac:dyDescent="0.3">
      <c r="A4" t="s">
        <v>1164</v>
      </c>
      <c r="B4" t="s">
        <v>1165</v>
      </c>
    </row>
    <row r="5" spans="1:2" x14ac:dyDescent="0.3">
      <c r="A5" t="s">
        <v>1166</v>
      </c>
      <c r="B5" t="s">
        <v>1167</v>
      </c>
    </row>
    <row r="6" spans="1:2" x14ac:dyDescent="0.3">
      <c r="A6" t="s">
        <v>1168</v>
      </c>
      <c r="B6" t="s">
        <v>1169</v>
      </c>
    </row>
    <row r="7" spans="1:2" x14ac:dyDescent="0.3">
      <c r="A7" t="s">
        <v>1170</v>
      </c>
      <c r="B7" t="s">
        <v>1171</v>
      </c>
    </row>
    <row r="8" spans="1:2" x14ac:dyDescent="0.3">
      <c r="A8" t="s">
        <v>1172</v>
      </c>
      <c r="B8" t="s">
        <v>1173</v>
      </c>
    </row>
    <row r="9" spans="1:2" x14ac:dyDescent="0.3">
      <c r="A9" t="s">
        <v>1174</v>
      </c>
      <c r="B9" t="s">
        <v>1175</v>
      </c>
    </row>
    <row r="10" spans="1:2" x14ac:dyDescent="0.3">
      <c r="A10" t="s">
        <v>1176</v>
      </c>
      <c r="B10" t="s">
        <v>1177</v>
      </c>
    </row>
    <row r="11" spans="1:2" x14ac:dyDescent="0.3">
      <c r="A11" t="s">
        <v>1178</v>
      </c>
      <c r="B11" t="s">
        <v>1179</v>
      </c>
    </row>
    <row r="12" spans="1:2" x14ac:dyDescent="0.3">
      <c r="A12" t="s">
        <v>1180</v>
      </c>
      <c r="B12" t="s">
        <v>1181</v>
      </c>
    </row>
    <row r="13" spans="1:2" x14ac:dyDescent="0.3">
      <c r="A13" t="s">
        <v>1182</v>
      </c>
      <c r="B13" t="s">
        <v>1183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726C-A843-448A-BF7F-E471762425DD}">
  <dimension ref="A1:AE90"/>
  <sheetViews>
    <sheetView showGridLines="0" topLeftCell="I1" workbookViewId="0">
      <pane ySplit="1" topLeftCell="A4" activePane="bottomLeft" state="frozen"/>
      <selection pane="bottomLeft" activeCell="D29" sqref="D29"/>
    </sheetView>
  </sheetViews>
  <sheetFormatPr baseColWidth="10" defaultRowHeight="14.4" x14ac:dyDescent="0.3"/>
  <cols>
    <col min="1" max="1" width="11.109375" bestFit="1" customWidth="1"/>
    <col min="2" max="2" width="16.6640625" bestFit="1" customWidth="1"/>
    <col min="3" max="4" width="15" bestFit="1" customWidth="1"/>
    <col min="5" max="5" width="16.6640625" bestFit="1" customWidth="1"/>
    <col min="6" max="6" width="20" bestFit="1" customWidth="1"/>
    <col min="7" max="7" width="16.6640625" bestFit="1" customWidth="1"/>
    <col min="10" max="10" width="16.6640625" bestFit="1" customWidth="1"/>
    <col min="11" max="11" width="15" bestFit="1" customWidth="1"/>
    <col min="12" max="12" width="15.44140625" bestFit="1" customWidth="1"/>
    <col min="15" max="16" width="17.5546875" customWidth="1"/>
  </cols>
  <sheetData>
    <row r="1" spans="1:31" ht="36" customHeight="1" x14ac:dyDescent="0.3">
      <c r="A1" s="55" t="s">
        <v>1192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31" hidden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hidden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3">
      <c r="A5" s="63" t="s">
        <v>1188</v>
      </c>
      <c r="B5" s="65"/>
      <c r="C5" s="18"/>
      <c r="D5" s="18"/>
      <c r="E5" s="18"/>
      <c r="F5" s="12"/>
      <c r="G5" s="12"/>
      <c r="H5" s="12"/>
      <c r="I5" s="12"/>
      <c r="J5" s="59" t="s">
        <v>1197</v>
      </c>
      <c r="K5" s="60"/>
      <c r="L5" s="66"/>
      <c r="M5" s="12"/>
      <c r="N5" s="12"/>
      <c r="O5" s="59" t="s">
        <v>1201</v>
      </c>
      <c r="P5" s="6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x14ac:dyDescent="0.3">
      <c r="A7" s="8" t="s">
        <v>1187</v>
      </c>
      <c r="B7" s="8" t="s">
        <v>1194</v>
      </c>
      <c r="C7" s="12"/>
      <c r="D7" s="12"/>
      <c r="E7" s="12"/>
      <c r="F7" s="12"/>
      <c r="G7" s="12"/>
      <c r="H7" s="12"/>
      <c r="I7" s="12"/>
      <c r="J7" s="24" t="s">
        <v>1185</v>
      </c>
      <c r="K7" s="24" t="s">
        <v>1196</v>
      </c>
      <c r="L7" s="24" t="s">
        <v>1186</v>
      </c>
      <c r="M7" s="12"/>
      <c r="N7" s="12"/>
      <c r="O7" s="22" t="s">
        <v>1202</v>
      </c>
      <c r="P7" s="22" t="s">
        <v>1203</v>
      </c>
      <c r="Q7" s="25" t="s">
        <v>1210</v>
      </c>
      <c r="R7" s="25" t="s">
        <v>1211</v>
      </c>
      <c r="S7" s="25" t="s">
        <v>1212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x14ac:dyDescent="0.3">
      <c r="A8" s="16">
        <v>2020</v>
      </c>
      <c r="B8" s="17">
        <v>437291629.94</v>
      </c>
      <c r="C8" s="12"/>
      <c r="D8" s="12"/>
      <c r="E8" s="12"/>
      <c r="F8" s="12"/>
      <c r="G8" s="12"/>
      <c r="H8" s="12"/>
      <c r="I8" s="12"/>
      <c r="J8" s="19">
        <v>1289101896.8099992</v>
      </c>
      <c r="K8" s="19">
        <v>907076517.37999952</v>
      </c>
      <c r="L8" s="20">
        <v>0.29635002506423774</v>
      </c>
      <c r="M8" s="12"/>
      <c r="N8" s="12"/>
      <c r="O8" s="12" t="s">
        <v>1204</v>
      </c>
      <c r="P8" s="23" t="str">
        <f>TEXT(J8,"$ #.##0.. ""M""")</f>
        <v>$ 1.289 M</v>
      </c>
      <c r="Q8" s="26">
        <v>1500000000</v>
      </c>
      <c r="R8" s="12" t="b">
        <f>J8&gt;=Q8</f>
        <v>0</v>
      </c>
      <c r="S8" s="12" t="str">
        <f>IF(R8,"▲ Sobre la meta (","▼ Bajo la meta (")&amp;TEXT(Q8,"$ #.##0.. ""M""")&amp;")"</f>
        <v>▼ Bajo la meta ($ 1.500 M)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x14ac:dyDescent="0.3">
      <c r="A9" s="16">
        <v>2021</v>
      </c>
      <c r="B9" s="17">
        <v>483235395.83999985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 t="s">
        <v>1205</v>
      </c>
      <c r="P9" s="23" t="str">
        <f>TEXT(K8,"$ #.##0.. ""M""")</f>
        <v>$ 907 M</v>
      </c>
      <c r="Q9" s="26">
        <v>1000000000</v>
      </c>
      <c r="R9" s="12" t="b">
        <f>K8&lt;=Q9</f>
        <v>1</v>
      </c>
      <c r="S9" s="12" t="str">
        <f>IF(R9,"▼ Dentro del máximo (","▲ Sobre el máximo (")&amp;TEXT(Q9,"$ #.##0.. ""M""")&amp;")"</f>
        <v>▼ Dentro del máximo ($ 1.000 M)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3">
      <c r="A10" s="16">
        <v>2022</v>
      </c>
      <c r="B10" s="17">
        <v>368574871.03000033</v>
      </c>
      <c r="C10" s="13"/>
      <c r="D10" s="13"/>
      <c r="E10" s="13"/>
      <c r="F10" s="12"/>
      <c r="G10" s="12"/>
      <c r="H10" s="12"/>
      <c r="I10" s="12"/>
      <c r="J10" s="12" t="s">
        <v>1198</v>
      </c>
      <c r="K10" s="21">
        <f>J8</f>
        <v>1289101896.8099992</v>
      </c>
      <c r="L10" s="12"/>
      <c r="M10" s="12"/>
      <c r="N10" s="12"/>
      <c r="O10" s="12" t="s">
        <v>1206</v>
      </c>
      <c r="P10" s="23" t="str">
        <f>TEXT(L8,"0,0%")</f>
        <v>29,6%</v>
      </c>
      <c r="Q10" s="27">
        <v>0.35</v>
      </c>
      <c r="R10" s="12" t="b">
        <f>L8&gt;=Q10</f>
        <v>0</v>
      </c>
      <c r="S10" s="12" t="str">
        <f>IF(R10,"▲ Sobre la meta (","▼ Bajo la meta (")&amp;TEXT(Q10,"0,0%")&amp;")"</f>
        <v>▼ Bajo la meta (35,0%)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3">
      <c r="A11" s="10" t="s">
        <v>1195</v>
      </c>
      <c r="B11" s="9">
        <v>1289101896.8099992</v>
      </c>
      <c r="C11" s="12"/>
      <c r="D11" s="12"/>
      <c r="E11" s="12"/>
      <c r="F11" s="12"/>
      <c r="G11" s="12"/>
      <c r="H11" s="12"/>
      <c r="I11" s="12"/>
      <c r="J11" s="12" t="s">
        <v>1199</v>
      </c>
      <c r="K11" s="21">
        <f>-K8</f>
        <v>-907076517.37999952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3">
      <c r="A12" s="14"/>
      <c r="B12" s="13"/>
      <c r="C12" s="12"/>
      <c r="D12" s="12"/>
      <c r="E12" s="12"/>
      <c r="F12" s="12"/>
      <c r="G12" s="12"/>
      <c r="H12" s="12"/>
      <c r="I12" s="12"/>
      <c r="J12" s="12" t="s">
        <v>1200</v>
      </c>
      <c r="K12" s="21">
        <f>K10+K11</f>
        <v>382025379.42999971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3">
      <c r="A14" s="61" t="s">
        <v>1193</v>
      </c>
      <c r="B14" s="62"/>
      <c r="C14" s="12"/>
      <c r="D14" s="12"/>
      <c r="E14" s="12"/>
      <c r="F14" s="63" t="s">
        <v>1190</v>
      </c>
      <c r="G14" s="64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3">
      <c r="A16" s="8" t="s">
        <v>1189</v>
      </c>
      <c r="B16" s="8" t="s">
        <v>1186</v>
      </c>
      <c r="C16" s="12"/>
      <c r="D16" s="12"/>
      <c r="E16" s="12"/>
      <c r="F16" s="8" t="s">
        <v>1191</v>
      </c>
      <c r="G16" s="8" t="s">
        <v>1185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3">
      <c r="A17" s="5" t="s">
        <v>1163</v>
      </c>
      <c r="B17" s="7">
        <v>0.13558036455000139</v>
      </c>
      <c r="C17" s="12"/>
      <c r="D17" s="12"/>
      <c r="E17" s="12"/>
      <c r="F17" s="5" t="s">
        <v>973</v>
      </c>
      <c r="G17" s="6">
        <v>505512606.95999974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3">
      <c r="A18" s="5" t="s">
        <v>1177</v>
      </c>
      <c r="B18" s="7">
        <v>0.1938698730056358</v>
      </c>
      <c r="C18" s="12"/>
      <c r="D18" s="12"/>
      <c r="E18" s="12"/>
      <c r="F18" s="5" t="s">
        <v>968</v>
      </c>
      <c r="G18" s="6">
        <v>286221256.88999981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3">
      <c r="A19" s="5" t="s">
        <v>1183</v>
      </c>
      <c r="B19" s="7">
        <v>0.24799856345489157</v>
      </c>
      <c r="C19" s="12"/>
      <c r="D19" s="12"/>
      <c r="E19" s="12"/>
      <c r="F19" s="5" t="s">
        <v>991</v>
      </c>
      <c r="G19" s="6">
        <v>198592335.5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3">
      <c r="A20" s="5" t="s">
        <v>1167</v>
      </c>
      <c r="B20" s="7">
        <v>0.25830653804930342</v>
      </c>
      <c r="C20" s="12"/>
      <c r="D20" s="12"/>
      <c r="E20" s="12"/>
      <c r="F20" s="5" t="s">
        <v>975</v>
      </c>
      <c r="G20" s="6">
        <v>145608250.83999991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3">
      <c r="A21" s="5" t="s">
        <v>1175</v>
      </c>
      <c r="B21" s="7">
        <v>0.30661935641747223</v>
      </c>
      <c r="C21" s="12"/>
      <c r="D21" s="12"/>
      <c r="E21" s="12"/>
      <c r="F21" s="5" t="s">
        <v>971</v>
      </c>
      <c r="G21" s="6">
        <v>125201457.04000002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3">
      <c r="A22" s="5" t="s">
        <v>1171</v>
      </c>
      <c r="B22" s="7">
        <v>0.33003161222339317</v>
      </c>
      <c r="C22" s="12"/>
      <c r="D22" s="12"/>
      <c r="E22" s="12"/>
      <c r="F22" s="5" t="s">
        <v>981</v>
      </c>
      <c r="G22" s="6">
        <v>27965989.580000006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3">
      <c r="A23" s="5" t="s">
        <v>1161</v>
      </c>
      <c r="B23" s="7">
        <v>0.36138419189933119</v>
      </c>
      <c r="C23" s="12"/>
      <c r="D23" s="12"/>
      <c r="E23" s="12"/>
      <c r="F23" s="10" t="s">
        <v>1184</v>
      </c>
      <c r="G23" s="9">
        <v>1289101896.8099992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3">
      <c r="A24" s="5" t="s">
        <v>1169</v>
      </c>
      <c r="B24" s="7">
        <v>0.37550924475086173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3">
      <c r="A25" s="5" t="s">
        <v>1173</v>
      </c>
      <c r="B25" s="7">
        <v>0.39768984446477573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3">
      <c r="A26" s="5" t="s">
        <v>1179</v>
      </c>
      <c r="B26" s="7">
        <v>0.40977541217707403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x14ac:dyDescent="0.3">
      <c r="A27" s="5" t="s">
        <v>1165</v>
      </c>
      <c r="B27" s="7">
        <v>0.43067574137092846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x14ac:dyDescent="0.3">
      <c r="A28" s="5" t="s">
        <v>1181</v>
      </c>
      <c r="B28" s="7">
        <v>0.67203513909224011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x14ac:dyDescent="0.3">
      <c r="A29" s="10" t="s">
        <v>1184</v>
      </c>
      <c r="B29" s="11">
        <v>0.29635002506423774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x14ac:dyDescent="0.3">
      <c r="A30" s="14"/>
      <c r="B30" s="15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x14ac:dyDescent="0.3">
      <c r="A31" s="14"/>
      <c r="B31" s="1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1:3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1:3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1:3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1:3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1:3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</sheetData>
  <mergeCells count="6">
    <mergeCell ref="O5:P5"/>
    <mergeCell ref="A14:B14"/>
    <mergeCell ref="F14:G14"/>
    <mergeCell ref="A5:B5"/>
    <mergeCell ref="A1:N1"/>
    <mergeCell ref="J5:L5"/>
  </mergeCells>
  <pageMargins left="0.7" right="0.7" top="0.75" bottom="0.75" header="0.3" footer="0.3"/>
  <drawing r:id="rId5"/>
  <legacy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C538-04A4-4B27-9376-C52386542BB0}">
  <dimension ref="A1:AE118"/>
  <sheetViews>
    <sheetView showGridLines="0" tabSelected="1" workbookViewId="0">
      <pane ySplit="5" topLeftCell="A6" activePane="bottomLeft" state="frozen"/>
      <selection pane="bottomLeft" sqref="A1:N1"/>
    </sheetView>
  </sheetViews>
  <sheetFormatPr baseColWidth="10" defaultRowHeight="14.4" x14ac:dyDescent="0.3"/>
  <cols>
    <col min="1" max="1" width="3.6640625" customWidth="1"/>
    <col min="2" max="3" width="16.6640625" customWidth="1"/>
    <col min="4" max="4" width="5.5546875" customWidth="1"/>
    <col min="5" max="6" width="16.6640625" customWidth="1"/>
    <col min="7" max="7" width="5.5546875" customWidth="1"/>
    <col min="8" max="10" width="16.6640625" customWidth="1"/>
    <col min="11" max="11" width="16.5546875" customWidth="1"/>
    <col min="12" max="12" width="15.44140625" customWidth="1"/>
  </cols>
  <sheetData>
    <row r="1" spans="1:31" ht="36" customHeight="1" x14ac:dyDescent="0.3">
      <c r="A1" s="55" t="s">
        <v>1192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19.95" customHeight="1" x14ac:dyDescent="0.3">
      <c r="A2" s="12"/>
      <c r="B2" s="56" t="s">
        <v>1207</v>
      </c>
      <c r="C2" s="56"/>
      <c r="D2" s="12"/>
      <c r="E2" s="56" t="s">
        <v>1208</v>
      </c>
      <c r="F2" s="56"/>
      <c r="G2" s="12"/>
      <c r="H2" s="56" t="s">
        <v>1209</v>
      </c>
      <c r="I2" s="5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ht="28.05" customHeight="1" x14ac:dyDescent="0.3">
      <c r="A3" s="12"/>
      <c r="B3" s="57" t="str">
        <f>Tablas_Dinamicas!P8</f>
        <v>$ 1.289 M</v>
      </c>
      <c r="C3" s="57"/>
      <c r="D3" s="12"/>
      <c r="E3" s="57" t="str">
        <f>Tablas_Dinamicas!P9</f>
        <v>$ 907 M</v>
      </c>
      <c r="F3" s="57"/>
      <c r="G3" s="12"/>
      <c r="H3" s="57" t="str">
        <f>Tablas_Dinamicas!P10</f>
        <v>29,6%</v>
      </c>
      <c r="I3" s="5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28.05" customHeight="1" x14ac:dyDescent="0.3">
      <c r="A4" s="12"/>
      <c r="B4" s="58"/>
      <c r="C4" s="57"/>
      <c r="D4" s="12"/>
      <c r="E4" s="58"/>
      <c r="F4" s="57"/>
      <c r="G4" s="12"/>
      <c r="H4" s="58"/>
      <c r="I4" s="57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19.95" customHeight="1" x14ac:dyDescent="0.3">
      <c r="A5" s="12"/>
      <c r="B5" s="51" t="str">
        <f>Tablas_Dinamicas!S8</f>
        <v>▼ Bajo la meta ($ 1.500 M)</v>
      </c>
      <c r="C5" s="51"/>
      <c r="D5" s="12"/>
      <c r="E5" s="51" t="str">
        <f>Tablas_Dinamicas!S9</f>
        <v>▼ Dentro del máximo ($ 1.000 M)</v>
      </c>
      <c r="F5" s="51"/>
      <c r="G5" s="12"/>
      <c r="H5" s="51" t="str">
        <f>Tablas_Dinamicas!S10</f>
        <v>▼ Bajo la meta (35,0%)</v>
      </c>
      <c r="I5" s="5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ht="25.95" customHeight="1" x14ac:dyDescent="0.3">
      <c r="A44" s="12"/>
      <c r="B44" s="52" t="s">
        <v>1213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4"/>
      <c r="Z44" s="12"/>
      <c r="AA44" s="12"/>
      <c r="AB44" s="12"/>
      <c r="AC44" s="12"/>
      <c r="AD44" s="12"/>
      <c r="AE44" s="12"/>
    </row>
    <row r="45" spans="1:31" ht="36" customHeight="1" x14ac:dyDescent="0.3">
      <c r="A45" s="12"/>
      <c r="B45" s="42" t="s">
        <v>1214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4"/>
      <c r="Z45" s="12"/>
      <c r="AA45" s="12"/>
      <c r="AB45" s="12"/>
      <c r="AC45" s="12"/>
      <c r="AD45" s="12"/>
      <c r="AE45" s="12"/>
    </row>
    <row r="46" spans="1:31" ht="36" customHeight="1" x14ac:dyDescent="0.3">
      <c r="A46" s="12"/>
      <c r="B46" s="42" t="s">
        <v>1215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4"/>
      <c r="Z46" s="12"/>
      <c r="AA46" s="12"/>
      <c r="AB46" s="12"/>
      <c r="AC46" s="12"/>
      <c r="AD46" s="12"/>
      <c r="AE46" s="12"/>
    </row>
    <row r="47" spans="1:31" ht="36" customHeight="1" x14ac:dyDescent="0.3">
      <c r="A47" s="12"/>
      <c r="B47" s="42" t="s">
        <v>1216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4"/>
      <c r="Z47" s="12"/>
      <c r="AA47" s="12"/>
      <c r="AB47" s="12"/>
      <c r="AC47" s="12"/>
      <c r="AD47" s="12"/>
      <c r="AE47" s="12"/>
    </row>
    <row r="48" spans="1:3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ht="25.95" customHeight="1" x14ac:dyDescent="0.3">
      <c r="A49" s="12"/>
      <c r="B49" s="45" t="s">
        <v>1236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7"/>
      <c r="Z49" s="12"/>
      <c r="AA49" s="12"/>
      <c r="AB49" s="12"/>
      <c r="AC49" s="12"/>
      <c r="AD49" s="12"/>
      <c r="AE49" s="12"/>
    </row>
    <row r="50" spans="1:31" ht="36" customHeight="1" x14ac:dyDescent="0.3">
      <c r="A50" s="12"/>
      <c r="B50" s="48" t="str">
        <f>"• Ventas: comparando el mismo período (1/1 al "&amp;TEXT(Apoyo!C4,"dd/mm")&amp;" de cada año), 2022 cayó "&amp;TEXT(-Apoyo!E9,"0,0%")&amp;" frente a 2021, y no "&amp;TEXT(-Apoyo!G9,"0,0%")&amp;". La caída es real, pero menor: una parte se debía a que 2022 está incompleto."</f>
        <v>• Ventas: comparando el mismo período (1/1 al 07/11 de cada año), 2022 cayó 14,6% frente a 2021, y no 23,7%. La caída es real, pero menor: una parte se debía a que 2022 está incompleto.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50"/>
      <c r="Z50" s="12"/>
      <c r="AA50" s="12"/>
      <c r="AB50" s="12"/>
      <c r="AC50" s="12"/>
      <c r="AD50" s="12"/>
      <c r="AE50" s="12"/>
    </row>
    <row r="51" spans="1:31" ht="36" customHeight="1" x14ac:dyDescent="0.3">
      <c r="A51" s="12"/>
      <c r="B51" s="48" t="str">
        <f>"• Productos: Ropa tiene el mayor margen ("&amp;TEXT(Apoyo!F25,"0%")&amp;"), pero aporta solo el "&amp;TEXT(Apoyo!G25,"0,0%")&amp;" de la ganancia. Los que más ganancia dejan son Doméstico ("&amp;TEXT(Apoyo!G26,"0,0%")&amp;") y Cosméticos ("&amp;TEXT(Apoyo!G21,"0,0%")&amp;"). Doméstico, Material de oficina y Cárnicos venden mucho con margen bajo: ahí está la mayor palanca para llegar al 35%."</f>
        <v>• Productos: Ropa tiene el mayor margen (67%), pero aporta solo el 7,3% de la ganancia. Los que más ganancia dejan son Doméstico (17,4%) y Cosméticos (16,9%). Doméstico, Material de oficina y Cárnicos venden mucho con margen bajo: ahí está la mayor palanca para llegar al 35%.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50"/>
      <c r="Z51" s="12"/>
      <c r="AA51" s="12"/>
      <c r="AB51" s="12"/>
      <c r="AC51" s="12"/>
      <c r="AD51" s="12"/>
      <c r="AE51" s="12"/>
    </row>
    <row r="52" spans="1:31" ht="36" customHeight="1" x14ac:dyDescent="0.3">
      <c r="A52" s="12"/>
      <c r="B52" s="48" t="str">
        <f>"• Regiones: la concentración en África y Europa es un riesgo a validar; falta analizar margen, clientes y evolución por región antes de concluir."</f>
        <v>• Regiones: la concentración en África y Europa es un riesgo a validar; falta analizar margen, clientes y evolución por región antes de concluir.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50"/>
      <c r="Z52" s="12"/>
      <c r="AA52" s="12"/>
      <c r="AB52" s="12"/>
      <c r="AC52" s="12"/>
      <c r="AD52" s="12"/>
      <c r="AE52" s="12"/>
    </row>
    <row r="53" spans="1:3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1:3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1:3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1:3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1:3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1:3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pans="1:3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1:3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</sheetData>
  <mergeCells count="18">
    <mergeCell ref="B46:Y46"/>
    <mergeCell ref="A1:N1"/>
    <mergeCell ref="B2:C2"/>
    <mergeCell ref="B3:C4"/>
    <mergeCell ref="E2:F2"/>
    <mergeCell ref="E3:F4"/>
    <mergeCell ref="H2:I2"/>
    <mergeCell ref="H3:I4"/>
    <mergeCell ref="B5:C5"/>
    <mergeCell ref="E5:F5"/>
    <mergeCell ref="H5:I5"/>
    <mergeCell ref="B44:Y44"/>
    <mergeCell ref="B45:Y45"/>
    <mergeCell ref="B47:Y47"/>
    <mergeCell ref="B49:Y49"/>
    <mergeCell ref="B50:Y50"/>
    <mergeCell ref="B51:Y51"/>
    <mergeCell ref="B52:Y52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C58751F-ADEB-4748-913C-941D4AC84827}">
            <xm:f>Tablas_Dinamicas!$R$8=TRUE</xm:f>
            <x14:dxf>
              <font>
                <color rgb="FFFFFFFF"/>
              </font>
              <fill>
                <patternFill patternType="solid">
                  <fgColor indexed="64"/>
                  <bgColor rgb="FF4EA72E"/>
                </patternFill>
              </fill>
            </x14:dxf>
          </x14:cfRule>
          <x14:cfRule type="expression" priority="2" id="{F2868AB7-4407-4F2B-9F40-FDB4D18E7B58}">
            <xm:f>Tablas_Dinamicas!$R$8=FALSE</xm:f>
            <x14:dxf>
              <font>
                <color rgb="FFFFFFFF"/>
              </font>
              <fill>
                <patternFill patternType="solid">
                  <fgColor indexed="64"/>
                  <bgColor rgb="FFC0392B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expression" priority="3" id="{178BAC59-EA3E-4C32-AD27-B649DDCB1F65}">
            <xm:f>Tablas_Dinamicas!$R$8=TRUE</xm:f>
            <x14:dxf>
              <font>
                <color rgb="FF2E7D32"/>
              </font>
            </x14:dxf>
          </x14:cfRule>
          <x14:cfRule type="expression" priority="4" id="{7BF61CF3-8218-4B20-8731-75901A8C1589}">
            <xm:f>Tablas_Dinamicas!$R$8=FALSE</xm:f>
            <x14:dxf>
              <font>
                <color rgb="FFC0392B"/>
              </font>
            </x14:dxf>
          </x14:cfRule>
          <xm:sqref>B5</xm:sqref>
        </x14:conditionalFormatting>
        <x14:conditionalFormatting xmlns:xm="http://schemas.microsoft.com/office/excel/2006/main">
          <x14:cfRule type="expression" priority="5" id="{4D523967-6BEA-440C-9382-B1996102E604}">
            <xm:f>Tablas_Dinamicas!$R$9=TRUE</xm:f>
            <x14:dxf>
              <font>
                <color rgb="FFFFFFFF"/>
              </font>
              <fill>
                <patternFill patternType="solid">
                  <fgColor indexed="64"/>
                  <bgColor rgb="FF4EA72E"/>
                </patternFill>
              </fill>
            </x14:dxf>
          </x14:cfRule>
          <x14:cfRule type="expression" priority="6" id="{F9E40146-4F84-4052-9859-AEE9D214ECB4}">
            <xm:f>Tablas_Dinamicas!$R$9=FALSE</xm:f>
            <x14:dxf>
              <font>
                <color rgb="FFFFFFFF"/>
              </font>
              <fill>
                <patternFill patternType="solid">
                  <fgColor indexed="64"/>
                  <bgColor rgb="FFC0392B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expression" priority="7" id="{AE8EA668-ABD3-416B-8768-FF7621856E9D}">
            <xm:f>Tablas_Dinamicas!$R$9=TRUE</xm:f>
            <x14:dxf>
              <font>
                <color rgb="FF2E7D32"/>
              </font>
            </x14:dxf>
          </x14:cfRule>
          <x14:cfRule type="expression" priority="8" id="{3D4FCDC2-4D0B-4A28-8745-EAC9844F81E5}">
            <xm:f>Tablas_Dinamicas!$R$9=FALSE</xm:f>
            <x14:dxf>
              <font>
                <color rgb="FFC0392B"/>
              </font>
            </x14:dxf>
          </x14:cfRule>
          <xm:sqref>E5</xm:sqref>
        </x14:conditionalFormatting>
        <x14:conditionalFormatting xmlns:xm="http://schemas.microsoft.com/office/excel/2006/main">
          <x14:cfRule type="expression" priority="9" id="{97D239AD-08CC-489A-9CC5-7C7210599446}">
            <xm:f>Tablas_Dinamicas!$R$10=TRUE</xm:f>
            <x14:dxf>
              <font>
                <color rgb="FFFFFFFF"/>
              </font>
              <fill>
                <patternFill patternType="solid">
                  <fgColor indexed="64"/>
                  <bgColor rgb="FF4EA72E"/>
                </patternFill>
              </fill>
            </x14:dxf>
          </x14:cfRule>
          <x14:cfRule type="expression" priority="10" id="{A7DEF996-070F-4761-B6C5-B235247A8049}">
            <xm:f>Tablas_Dinamicas!$R$10=FALSE</xm:f>
            <x14:dxf>
              <font>
                <color rgb="FFFFFFFF"/>
              </font>
              <fill>
                <patternFill patternType="solid">
                  <fgColor indexed="64"/>
                  <bgColor rgb="FFC0392B"/>
                </patternFill>
              </fill>
            </x14:dxf>
          </x14:cfRule>
          <xm:sqref>H3</xm:sqref>
        </x14:conditionalFormatting>
        <x14:conditionalFormatting xmlns:xm="http://schemas.microsoft.com/office/excel/2006/main">
          <x14:cfRule type="expression" priority="11" id="{4AEE4BAD-057C-4179-B24E-61D49FE5C0C3}">
            <xm:f>Tablas_Dinamicas!$R$10=TRUE</xm:f>
            <x14:dxf>
              <font>
                <color rgb="FF2E7D32"/>
              </font>
            </x14:dxf>
          </x14:cfRule>
          <x14:cfRule type="expression" priority="12" id="{4EA25B83-2286-48D6-B90B-39989219A3A1}">
            <xm:f>Tablas_Dinamicas!$R$10=FALSE</xm:f>
            <x14:dxf>
              <font>
                <color rgb="FFC0392B"/>
              </font>
            </x14:dxf>
          </x14:cfRule>
          <xm:sqref>H5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3784-D9F8-46F6-B119-6327341DA33D}">
  <dimension ref="A1:K27"/>
  <sheetViews>
    <sheetView showGridLines="0" workbookViewId="0">
      <selection activeCell="H27" sqref="H27"/>
    </sheetView>
  </sheetViews>
  <sheetFormatPr baseColWidth="10" defaultRowHeight="14.4" x14ac:dyDescent="0.3"/>
  <cols>
    <col min="1" max="1" width="57" customWidth="1"/>
    <col min="2" max="7" width="17.5546875" customWidth="1"/>
    <col min="9" max="9" width="24.109375" customWidth="1"/>
    <col min="10" max="11" width="16.6640625" customWidth="1"/>
  </cols>
  <sheetData>
    <row r="1" spans="1:11" ht="18" x14ac:dyDescent="0.35">
      <c r="A1" s="28" t="s">
        <v>1217</v>
      </c>
    </row>
    <row r="3" spans="1:11" x14ac:dyDescent="0.3">
      <c r="A3" s="29" t="s">
        <v>1218</v>
      </c>
    </row>
    <row r="4" spans="1:11" x14ac:dyDescent="0.3">
      <c r="A4" t="s">
        <v>1219</v>
      </c>
      <c r="C4" s="30">
        <f>MAX(Hechos!$D$2:$D$1001)</f>
        <v>44872</v>
      </c>
    </row>
    <row r="6" spans="1:11" x14ac:dyDescent="0.3">
      <c r="A6" s="32" t="s">
        <v>1187</v>
      </c>
      <c r="B6" s="32" t="s">
        <v>1220</v>
      </c>
      <c r="C6" s="32" t="s">
        <v>1221</v>
      </c>
      <c r="D6" s="32" t="s">
        <v>1222</v>
      </c>
      <c r="E6" s="32" t="s">
        <v>1223</v>
      </c>
      <c r="F6" s="32" t="s">
        <v>1224</v>
      </c>
      <c r="G6" s="32" t="s">
        <v>1225</v>
      </c>
    </row>
    <row r="7" spans="1:11" x14ac:dyDescent="0.3">
      <c r="A7" s="33">
        <v>2020</v>
      </c>
      <c r="B7" s="30">
        <f>DATE(VALUE(A7),1,1)</f>
        <v>43831</v>
      </c>
      <c r="C7" s="30">
        <f>DATE(VALUE(A7),MONTH($C$4),DAY($C$4))</f>
        <v>44142</v>
      </c>
      <c r="D7" s="34">
        <f>SUMIFS(Hechos!$J$2:$J$1001,Hechos!$D$2:$D$1001,"&gt;="&amp;B7,Hechos!$D$2:$D$1001,"&lt;="&amp;C7)</f>
        <v>360610120.24000007</v>
      </c>
      <c r="E7" s="35" t="s">
        <v>1226</v>
      </c>
      <c r="F7" s="34">
        <f>SUMIFS(Hechos!$J$2:$J$1001,Hechos!$D$2:$D$1001,"&gt;="&amp;B7,Hechos!$D$2:$D$1001,"&lt;="&amp;DATE(VALUE(A7),12,31))</f>
        <v>437291629.94</v>
      </c>
      <c r="G7" s="35" t="s">
        <v>1226</v>
      </c>
    </row>
    <row r="8" spans="1:11" x14ac:dyDescent="0.3">
      <c r="A8" t="str">
        <f>TEXT(VALUE(A7)+1,"0")</f>
        <v>2021</v>
      </c>
      <c r="B8" s="30">
        <f t="shared" ref="B8:B9" si="0">DATE(VALUE(A8),1,1)</f>
        <v>44197</v>
      </c>
      <c r="C8" s="30">
        <f t="shared" ref="C8:C9" si="1">DATE(VALUE(A8),MONTH($C$4),DAY($C$4))</f>
        <v>44507</v>
      </c>
      <c r="D8" s="34">
        <f>SUMIFS(Hechos!$J$2:$J$1001,Hechos!$D$2:$D$1001,"&gt;="&amp;B8,Hechos!$D$2:$D$1001,"&lt;="&amp;C8)</f>
        <v>431452736.92999971</v>
      </c>
      <c r="E8" s="36">
        <f>D8/D7-1</f>
        <v>0.19645210357061282</v>
      </c>
      <c r="F8" s="34">
        <f>SUMIFS(Hechos!$J$2:$J$1001,Hechos!$D$2:$D$1001,"&gt;="&amp;B8,Hechos!$D$2:$D$1001,"&lt;="&amp;DATE(VALUE(A8),12,31))</f>
        <v>483235395.83999985</v>
      </c>
      <c r="G8" s="36">
        <f>F8/F7-1</f>
        <v>0.10506436152529086</v>
      </c>
    </row>
    <row r="9" spans="1:11" x14ac:dyDescent="0.3">
      <c r="A9" t="str">
        <f>TEXT(VALUE(A8)+1,"0")</f>
        <v>2022</v>
      </c>
      <c r="B9" s="30">
        <f t="shared" si="0"/>
        <v>44562</v>
      </c>
      <c r="C9" s="30">
        <f t="shared" si="1"/>
        <v>44872</v>
      </c>
      <c r="D9" s="34">
        <f>SUMIFS(Hechos!$J$2:$J$1001,Hechos!$D$2:$D$1001,"&gt;="&amp;B9,Hechos!$D$2:$D$1001,"&lt;="&amp;C9)</f>
        <v>368574871.03000033</v>
      </c>
      <c r="E9" s="36">
        <f>D9/D8-1</f>
        <v>-0.1457352347499441</v>
      </c>
      <c r="F9" s="34">
        <f>SUMIFS(Hechos!$J$2:$J$1001,Hechos!$D$2:$D$1001,"&gt;="&amp;B9,Hechos!$D$2:$D$1001,"&lt;="&amp;DATE(VALUE(A9),12,31))</f>
        <v>368574871.03000033</v>
      </c>
      <c r="G9" s="36">
        <f>F9/F8-1</f>
        <v>-0.23727675124188097</v>
      </c>
    </row>
    <row r="10" spans="1:11" x14ac:dyDescent="0.3">
      <c r="A10" s="31" t="s">
        <v>1227</v>
      </c>
      <c r="B10" s="31"/>
      <c r="C10" s="31"/>
      <c r="D10" s="37">
        <f>SUM(D7:D9)</f>
        <v>1160637728.2000003</v>
      </c>
      <c r="E10" s="31"/>
      <c r="F10" s="37">
        <f>SUM(F7:F9)</f>
        <v>1289101896.8100002</v>
      </c>
      <c r="G10" s="31"/>
    </row>
    <row r="11" spans="1:11" x14ac:dyDescent="0.3">
      <c r="A11" s="38" t="s">
        <v>1228</v>
      </c>
      <c r="F11" t="str">
        <f>IF(ROUND(F10-SUM(Hechos!$J$2:$J$1001),0)=0,"OK","Revisar")</f>
        <v>OK</v>
      </c>
    </row>
    <row r="13" spans="1:11" x14ac:dyDescent="0.3">
      <c r="A13" s="29" t="s">
        <v>1229</v>
      </c>
      <c r="I13" s="38" t="s">
        <v>1235</v>
      </c>
    </row>
    <row r="14" spans="1:11" ht="30" customHeight="1" x14ac:dyDescent="0.3">
      <c r="A14" s="39" t="s">
        <v>1189</v>
      </c>
      <c r="B14" s="39" t="s">
        <v>1158</v>
      </c>
      <c r="C14" s="39" t="s">
        <v>1230</v>
      </c>
      <c r="D14" s="39" t="s">
        <v>1231</v>
      </c>
      <c r="E14" s="39" t="s">
        <v>1232</v>
      </c>
      <c r="F14" s="39" t="s">
        <v>1233</v>
      </c>
      <c r="G14" s="39" t="s">
        <v>1234</v>
      </c>
      <c r="I14" s="32" t="s">
        <v>1189</v>
      </c>
      <c r="J14" s="32" t="s">
        <v>1232</v>
      </c>
      <c r="K14" s="32" t="s">
        <v>1233</v>
      </c>
    </row>
    <row r="15" spans="1:11" x14ac:dyDescent="0.3">
      <c r="A15" t="str">
        <f>Dim_Productos!B2</f>
        <v>Snacks</v>
      </c>
      <c r="B15" t="str">
        <f>Dim_Productos!A2</f>
        <v>PRO 1</v>
      </c>
      <c r="C15" s="34">
        <f>SUMIFS(Hechos!$J$2:$J$1001,Hechos!$B$2:$B$1001,B15)</f>
        <v>71156445.899999991</v>
      </c>
      <c r="D15" s="34">
        <f>SUMIFS(Hechos!$K$2:$K$1001,Hechos!$B$2:$B$1001,B15)</f>
        <v>45441631.200000018</v>
      </c>
      <c r="E15" s="34">
        <f>C15-D15</f>
        <v>25714814.699999973</v>
      </c>
      <c r="F15" s="40">
        <f>IF(C15=0,0,E15/C15)</f>
        <v>0.36138419189933119</v>
      </c>
      <c r="G15" s="40">
        <f>E15/$E$27</f>
        <v>6.7311796766926002E-2</v>
      </c>
      <c r="I15" t="str" cm="1">
        <f t="array" ref="I15:I26">_xlfn.SORTBY(A15:A26,E15:E26,-1)</f>
        <v>Doméstico</v>
      </c>
      <c r="J15" s="34" cm="1">
        <f t="array" ref="J15:J26">_xlfn.SORTBY(E15:E26,E15:E26,-1)</f>
        <v>66660914.980000168</v>
      </c>
      <c r="K15" s="40" cm="1">
        <f t="array" ref="K15:K26">_xlfn.SORTBY(F15:F26,E15:E26,-1)</f>
        <v>0.24799856345489157</v>
      </c>
    </row>
    <row r="16" spans="1:11" x14ac:dyDescent="0.3">
      <c r="A16" t="str">
        <f>Dim_Productos!B3</f>
        <v>Cárnicos</v>
      </c>
      <c r="B16" t="str">
        <f>Dim_Productos!A3</f>
        <v>PRO 2</v>
      </c>
      <c r="C16" s="34">
        <f>SUMIFS(Hechos!$J$2:$J$1001,Hechos!$B$2:$B$1001,B16)</f>
        <v>178522753.49999997</v>
      </c>
      <c r="D16" s="34">
        <f>SUMIFS(Hechos!$K$2:$K$1001,Hechos!$B$2:$B$1001,B16)</f>
        <v>154318573.49999994</v>
      </c>
      <c r="E16" s="34">
        <f t="shared" ref="E16:E26" si="2">C16-D16</f>
        <v>24204180.00000003</v>
      </c>
      <c r="F16" s="40">
        <f t="shared" ref="F16:F26" si="3">IF(C16=0,0,E16/C16)</f>
        <v>0.13558036455000139</v>
      </c>
      <c r="G16" s="40">
        <f t="shared" ref="G16:G26" si="4">E16/$E$27</f>
        <v>6.3357518382977054E-2</v>
      </c>
      <c r="I16" t="str">
        <v>Cosméticos</v>
      </c>
      <c r="J16" s="34">
        <v>64511333.839999974</v>
      </c>
      <c r="K16" s="40">
        <v>0.39768984446477573</v>
      </c>
    </row>
    <row r="17" spans="1:11" x14ac:dyDescent="0.3">
      <c r="A17" t="str">
        <f>Dim_Productos!B4</f>
        <v>Cereales</v>
      </c>
      <c r="B17" t="str">
        <f>Dim_Productos!A4</f>
        <v>PRO 3</v>
      </c>
      <c r="C17" s="34">
        <f>SUMIFS(Hechos!$J$2:$J$1001,Hechos!$B$2:$B$1001,B17)</f>
        <v>93401170.499999985</v>
      </c>
      <c r="D17" s="34">
        <f>SUMIFS(Hechos!$K$2:$K$1001,Hechos!$B$2:$B$1001,B17)</f>
        <v>53175552.149999999</v>
      </c>
      <c r="E17" s="34">
        <f t="shared" si="2"/>
        <v>40225618.349999987</v>
      </c>
      <c r="F17" s="40">
        <f t="shared" si="3"/>
        <v>0.43067574137092846</v>
      </c>
      <c r="G17" s="40">
        <f t="shared" si="4"/>
        <v>0.10529567017253798</v>
      </c>
      <c r="I17" t="str">
        <v>Material de oficina</v>
      </c>
      <c r="J17" s="34">
        <v>45996031.25000003</v>
      </c>
      <c r="K17" s="40">
        <v>0.1938698730056358</v>
      </c>
    </row>
    <row r="18" spans="1:11" x14ac:dyDescent="0.3">
      <c r="A18" t="str">
        <f>Dim_Productos!B5</f>
        <v>Frutas</v>
      </c>
      <c r="B18" t="str">
        <f>Dim_Productos!A5</f>
        <v>PRO 4</v>
      </c>
      <c r="C18" s="34">
        <f>SUMIFS(Hechos!$J$2:$J$1001,Hechos!$B$2:$B$1001,B18)</f>
        <v>3820392.42</v>
      </c>
      <c r="D18" s="34">
        <f>SUMIFS(Hechos!$K$2:$K$1001,Hechos!$B$2:$B$1001,B18)</f>
        <v>2833560.0799999996</v>
      </c>
      <c r="E18" s="34">
        <f t="shared" si="2"/>
        <v>986832.34000000032</v>
      </c>
      <c r="F18" s="40">
        <f t="shared" si="3"/>
        <v>0.25830653804930342</v>
      </c>
      <c r="G18" s="40">
        <f t="shared" si="4"/>
        <v>2.5831591122882991E-3</v>
      </c>
      <c r="I18" t="str">
        <v>Alimento infantil</v>
      </c>
      <c r="J18" s="34">
        <v>41386500.539999992</v>
      </c>
      <c r="K18" s="40">
        <v>0.37550924475086173</v>
      </c>
    </row>
    <row r="19" spans="1:11" x14ac:dyDescent="0.3">
      <c r="A19" t="str">
        <f>Dim_Productos!B6</f>
        <v>Alimento infantil</v>
      </c>
      <c r="B19" t="str">
        <f>Dim_Productos!A6</f>
        <v>PRO 5</v>
      </c>
      <c r="C19" s="34">
        <f>SUMIFS(Hechos!$J$2:$J$1001,Hechos!$B$2:$B$1001,B19)</f>
        <v>110214331.92</v>
      </c>
      <c r="D19" s="34">
        <f>SUMIFS(Hechos!$K$2:$K$1001,Hechos!$B$2:$B$1001,B19)</f>
        <v>68827831.38000001</v>
      </c>
      <c r="E19" s="34">
        <f t="shared" si="2"/>
        <v>41386500.539999992</v>
      </c>
      <c r="F19" s="40">
        <f t="shared" si="3"/>
        <v>0.37550924475086173</v>
      </c>
      <c r="G19" s="40">
        <f t="shared" si="4"/>
        <v>0.10833442689527743</v>
      </c>
      <c r="I19" t="str">
        <v>Cereales</v>
      </c>
      <c r="J19" s="34">
        <v>40225618.349999987</v>
      </c>
      <c r="K19" s="40">
        <v>0.43067574137092846</v>
      </c>
    </row>
    <row r="20" spans="1:11" x14ac:dyDescent="0.3">
      <c r="A20" t="str">
        <f>Dim_Productos!B7</f>
        <v>Bebida</v>
      </c>
      <c r="B20" t="str">
        <f>Dim_Productos!A7</f>
        <v>PRO 6</v>
      </c>
      <c r="C20" s="34">
        <f>SUMIFS(Hechos!$J$2:$J$1001,Hechos!$B$2:$B$1001,B20)</f>
        <v>21667947.600000001</v>
      </c>
      <c r="D20" s="34">
        <f>SUMIFS(Hechos!$K$2:$K$1001,Hechos!$B$2:$B$1001,B20)</f>
        <v>14516839.919999998</v>
      </c>
      <c r="E20" s="34">
        <f t="shared" si="2"/>
        <v>7151107.6800000034</v>
      </c>
      <c r="F20" s="40">
        <f t="shared" si="3"/>
        <v>0.33003161222339317</v>
      </c>
      <c r="G20" s="40">
        <f t="shared" si="4"/>
        <v>1.8718933518683471E-2</v>
      </c>
      <c r="I20" t="str">
        <v>Ropa</v>
      </c>
      <c r="J20" s="34">
        <v>27712143.359999999</v>
      </c>
      <c r="K20" s="40">
        <v>0.67203513909224011</v>
      </c>
    </row>
    <row r="21" spans="1:11" x14ac:dyDescent="0.3">
      <c r="A21" t="str">
        <f>Dim_Productos!B8</f>
        <v>Cosméticos</v>
      </c>
      <c r="B21" t="str">
        <f>Dim_Productos!A8</f>
        <v>PRO 7</v>
      </c>
      <c r="C21" s="34">
        <f>SUMIFS(Hechos!$J$2:$J$1001,Hechos!$B$2:$B$1001,B21)</f>
        <v>162215190.39999998</v>
      </c>
      <c r="D21" s="34">
        <f>SUMIFS(Hechos!$K$2:$K$1001,Hechos!$B$2:$B$1001,B21)</f>
        <v>97703856.560000002</v>
      </c>
      <c r="E21" s="34">
        <f t="shared" si="2"/>
        <v>64511333.839999974</v>
      </c>
      <c r="F21" s="40">
        <f t="shared" si="3"/>
        <v>0.39768984446477573</v>
      </c>
      <c r="G21" s="40">
        <f t="shared" si="4"/>
        <v>0.16886661806672085</v>
      </c>
      <c r="I21" t="str">
        <v>Verduras</v>
      </c>
      <c r="J21" s="34">
        <v>26069091.590000011</v>
      </c>
      <c r="K21" s="40">
        <v>0.40977541217707403</v>
      </c>
    </row>
    <row r="22" spans="1:11" x14ac:dyDescent="0.3">
      <c r="A22" t="str">
        <f>Dim_Productos!B9</f>
        <v>Cuidado personal</v>
      </c>
      <c r="B22" t="str">
        <f>Dim_Productos!A9</f>
        <v>PRO 8</v>
      </c>
      <c r="C22" s="34">
        <f>SUMIFS(Hechos!$J$2:$J$1001,Hechos!$B$2:$B$1001,B22)</f>
        <v>37201861.399999991</v>
      </c>
      <c r="D22" s="34">
        <f>SUMIFS(Hechos!$K$2:$K$1001,Hechos!$B$2:$B$1001,B22)</f>
        <v>25795050.59999999</v>
      </c>
      <c r="E22" s="34">
        <f t="shared" si="2"/>
        <v>11406810.800000001</v>
      </c>
      <c r="F22" s="40">
        <f t="shared" si="3"/>
        <v>0.30661935641747223</v>
      </c>
      <c r="G22" s="40">
        <f t="shared" si="4"/>
        <v>2.9858777490174855E-2</v>
      </c>
      <c r="I22" t="str">
        <v>Snacks</v>
      </c>
      <c r="J22" s="34">
        <v>25714814.699999973</v>
      </c>
      <c r="K22" s="40">
        <v>0.36138419189933119</v>
      </c>
    </row>
    <row r="23" spans="1:11" x14ac:dyDescent="0.3">
      <c r="A23" t="str">
        <f>Dim_Productos!B10</f>
        <v>Material de oficina</v>
      </c>
      <c r="B23" t="str">
        <f>Dim_Productos!A10</f>
        <v>PRO 9</v>
      </c>
      <c r="C23" s="34">
        <f>SUMIFS(Hechos!$J$2:$J$1001,Hechos!$B$2:$B$1001,B23)</f>
        <v>237252083.25</v>
      </c>
      <c r="D23" s="34">
        <f>SUMIFS(Hechos!$K$2:$K$1001,Hechos!$B$2:$B$1001,B23)</f>
        <v>191256051.99999997</v>
      </c>
      <c r="E23" s="34">
        <f t="shared" si="2"/>
        <v>45996031.25000003</v>
      </c>
      <c r="F23" s="40">
        <f t="shared" si="3"/>
        <v>0.1938698730056358</v>
      </c>
      <c r="G23" s="40">
        <f t="shared" si="4"/>
        <v>0.12040045956796969</v>
      </c>
      <c r="I23" t="str">
        <v>Cárnicos</v>
      </c>
      <c r="J23" s="34">
        <v>24204180.00000003</v>
      </c>
      <c r="K23" s="40">
        <v>0.13558036455000139</v>
      </c>
    </row>
    <row r="24" spans="1:11" x14ac:dyDescent="0.3">
      <c r="A24" t="str">
        <f>Dim_Productos!B11</f>
        <v>Verduras</v>
      </c>
      <c r="B24" t="str">
        <f>Dim_Productos!A11</f>
        <v>PRO 10</v>
      </c>
      <c r="C24" s="34">
        <f>SUMIFS(Hechos!$J$2:$J$1001,Hechos!$B$2:$B$1001,B24)</f>
        <v>63617998.580000006</v>
      </c>
      <c r="D24" s="34">
        <f>SUMIFS(Hechos!$K$2:$K$1001,Hechos!$B$2:$B$1001,B24)</f>
        <v>37548906.989999995</v>
      </c>
      <c r="E24" s="34">
        <f t="shared" si="2"/>
        <v>26069091.590000011</v>
      </c>
      <c r="F24" s="40">
        <f t="shared" si="3"/>
        <v>0.40977541217707403</v>
      </c>
      <c r="G24" s="40">
        <f t="shared" si="4"/>
        <v>6.8239161567999251E-2</v>
      </c>
      <c r="I24" t="str">
        <v>Cuidado personal</v>
      </c>
      <c r="J24" s="34">
        <v>11406810.800000001</v>
      </c>
      <c r="K24" s="40">
        <v>0.30661935641747223</v>
      </c>
    </row>
    <row r="25" spans="1:11" x14ac:dyDescent="0.3">
      <c r="A25" t="str">
        <f>Dim_Productos!B12</f>
        <v>Ropa</v>
      </c>
      <c r="B25" t="str">
        <f>Dim_Productos!A12</f>
        <v>PRO 11</v>
      </c>
      <c r="C25" s="34">
        <f>SUMIFS(Hechos!$J$2:$J$1001,Hechos!$B$2:$B$1001,B25)</f>
        <v>41236152.32</v>
      </c>
      <c r="D25" s="34">
        <f>SUMIFS(Hechos!$K$2:$K$1001,Hechos!$B$2:$B$1001,B25)</f>
        <v>13524008.959999999</v>
      </c>
      <c r="E25" s="34">
        <f t="shared" si="2"/>
        <v>27712143.359999999</v>
      </c>
      <c r="F25" s="40">
        <f t="shared" si="3"/>
        <v>0.67203513909224011</v>
      </c>
      <c r="G25" s="40">
        <f t="shared" si="4"/>
        <v>7.2540058467706545E-2</v>
      </c>
      <c r="I25" t="str">
        <v>Bebida</v>
      </c>
      <c r="J25" s="34">
        <v>7151107.6800000034</v>
      </c>
      <c r="K25" s="40">
        <v>0.33003161222339317</v>
      </c>
    </row>
    <row r="26" spans="1:11" x14ac:dyDescent="0.3">
      <c r="A26" t="str">
        <f>Dim_Productos!B13</f>
        <v>Doméstico</v>
      </c>
      <c r="B26" t="str">
        <f>Dim_Productos!A13</f>
        <v>PRO 12</v>
      </c>
      <c r="C26" s="34">
        <f>SUMIFS(Hechos!$J$2:$J$1001,Hechos!$B$2:$B$1001,B26)</f>
        <v>268795569.02000004</v>
      </c>
      <c r="D26" s="34">
        <f>SUMIFS(Hechos!$K$2:$K$1001,Hechos!$B$2:$B$1001,B26)</f>
        <v>202134654.03999987</v>
      </c>
      <c r="E26" s="34">
        <f t="shared" si="2"/>
        <v>66660914.980000168</v>
      </c>
      <c r="F26" s="40">
        <f t="shared" si="3"/>
        <v>0.24799856345489157</v>
      </c>
      <c r="G26" s="40">
        <f t="shared" si="4"/>
        <v>0.17449341999073822</v>
      </c>
      <c r="I26" t="str">
        <v>Frutas</v>
      </c>
      <c r="J26" s="34">
        <v>986832.34000000032</v>
      </c>
      <c r="K26" s="40">
        <v>0.25830653804930342</v>
      </c>
    </row>
    <row r="27" spans="1:11" x14ac:dyDescent="0.3">
      <c r="A27" s="31" t="s">
        <v>1227</v>
      </c>
      <c r="B27" s="31"/>
      <c r="C27" s="37">
        <f>SUM(C15:C26)</f>
        <v>1289101896.8100002</v>
      </c>
      <c r="D27" s="37">
        <f>SUM(D15:D26)</f>
        <v>907076517.37999988</v>
      </c>
      <c r="E27" s="37">
        <f>C27-D27</f>
        <v>382025379.43000031</v>
      </c>
      <c r="F27" s="41">
        <f>E27/C27</f>
        <v>0.29635002506423802</v>
      </c>
      <c r="G27" s="41">
        <f>SUM(G15:G26)</f>
        <v>0.99999999999999967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D338698C-5725-4BB6-A669-C488D2B466BA}">
  <ds:schemaRefs/>
</ds:datastoreItem>
</file>

<file path=customXml/itemProps2.xml><?xml version="1.0" encoding="utf-8"?>
<ds:datastoreItem xmlns:ds="http://schemas.openxmlformats.org/officeDocument/2006/customXml" ds:itemID="{E2B7208E-2C78-46EC-874B-3AE3905528D0}">
  <ds:schemaRefs/>
</ds:datastoreItem>
</file>

<file path=customXml/itemProps3.xml><?xml version="1.0" encoding="utf-8"?>
<ds:datastoreItem xmlns:ds="http://schemas.openxmlformats.org/officeDocument/2006/customXml" ds:itemID="{B838466E-EE5D-47F8-A0FF-E2C830F37228}">
  <ds:schemaRefs/>
</ds:datastoreItem>
</file>

<file path=customXml/itemProps4.xml><?xml version="1.0" encoding="utf-8"?>
<ds:datastoreItem xmlns:ds="http://schemas.openxmlformats.org/officeDocument/2006/customXml" ds:itemID="{CF0F4AB1-71EA-4E1E-AA1A-4392E7492ECB}">
  <ds:schemaRefs/>
</ds:datastoreItem>
</file>

<file path=customXml/itemProps5.xml><?xml version="1.0" encoding="utf-8"?>
<ds:datastoreItem xmlns:ds="http://schemas.openxmlformats.org/officeDocument/2006/customXml" ds:itemID="{9E212DC4-1511-437E-B460-26942C9C8908}">
  <ds:schemaRefs/>
</ds:datastoreItem>
</file>

<file path=customXml/itemProps6.xml><?xml version="1.0" encoding="utf-8"?>
<ds:datastoreItem xmlns:ds="http://schemas.openxmlformats.org/officeDocument/2006/customXml" ds:itemID="{326AA2C5-FE56-4E3D-9918-E344C31DAA7D}">
  <ds:schemaRefs/>
</ds:datastoreItem>
</file>

<file path=customXml/itemProps7.xml><?xml version="1.0" encoding="utf-8"?>
<ds:datastoreItem xmlns:ds="http://schemas.openxmlformats.org/officeDocument/2006/customXml" ds:itemID="{2860B87F-A61C-4F97-A31A-90A887DC2601}">
  <ds:schemaRefs/>
</ds:datastoreItem>
</file>

<file path=customXml/itemProps8.xml><?xml version="1.0" encoding="utf-8"?>
<ds:datastoreItem xmlns:ds="http://schemas.openxmlformats.org/officeDocument/2006/customXml" ds:itemID="{0CB1E657-917D-4BE9-8B0D-32A9C35EA994}">
  <ds:schemaRefs/>
</ds:datastoreItem>
</file>

<file path=customXml/itemProps9.xml><?xml version="1.0" encoding="utf-8"?>
<ds:datastoreItem xmlns:ds="http://schemas.openxmlformats.org/officeDocument/2006/customXml" ds:itemID="{C6E284BB-955E-4CE3-812E-49217400E97D}">
  <ds:schemaRefs/>
</ds:datastoreItem>
</file>

<file path=customXml/itemProps10.xml><?xml version="1.0" encoding="utf-8"?>
<ds:datastoreItem xmlns:ds="http://schemas.openxmlformats.org/officeDocument/2006/customXml" ds:itemID="{42788C70-FC47-4DEF-81AA-0404AB4A1FED}">
  <ds:schemaRefs/>
</ds:datastoreItem>
</file>

<file path=customXml/itemProps11.xml><?xml version="1.0" encoding="utf-8"?>
<ds:datastoreItem xmlns:ds="http://schemas.openxmlformats.org/officeDocument/2006/customXml" ds:itemID="{E5776C71-8095-4F81-9365-D7B1A65356E0}">
  <ds:schemaRefs/>
</ds:datastoreItem>
</file>

<file path=customXml/itemProps12.xml><?xml version="1.0" encoding="utf-8"?>
<ds:datastoreItem xmlns:ds="http://schemas.openxmlformats.org/officeDocument/2006/customXml" ds:itemID="{4E2E78A5-9603-4854-8671-E8AFCE52EE6B}">
  <ds:schemaRefs/>
</ds:datastoreItem>
</file>

<file path=customXml/itemProps13.xml><?xml version="1.0" encoding="utf-8"?>
<ds:datastoreItem xmlns:ds="http://schemas.openxmlformats.org/officeDocument/2006/customXml" ds:itemID="{172416C7-8803-4689-A288-415A412CCCE2}">
  <ds:schemaRefs/>
</ds:datastoreItem>
</file>

<file path=customXml/itemProps14.xml><?xml version="1.0" encoding="utf-8"?>
<ds:datastoreItem xmlns:ds="http://schemas.openxmlformats.org/officeDocument/2006/customXml" ds:itemID="{FCF2E86A-0B63-475F-AECE-03A71EA6BA91}">
  <ds:schemaRefs/>
</ds:datastoreItem>
</file>

<file path=customXml/itemProps15.xml><?xml version="1.0" encoding="utf-8"?>
<ds:datastoreItem xmlns:ds="http://schemas.openxmlformats.org/officeDocument/2006/customXml" ds:itemID="{8B19503E-9E90-4C48-A5B4-6B76B261A80A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3721E674-1F6F-4690-A5C6-AF9A03B956E1}">
  <ds:schemaRefs/>
</ds:datastoreItem>
</file>

<file path=customXml/itemProps17.xml><?xml version="1.0" encoding="utf-8"?>
<ds:datastoreItem xmlns:ds="http://schemas.openxmlformats.org/officeDocument/2006/customXml" ds:itemID="{837B7842-685E-4BCA-AB65-65A1B43B63A7}">
  <ds:schemaRefs/>
</ds:datastoreItem>
</file>

<file path=customXml/itemProps18.xml><?xml version="1.0" encoding="utf-8"?>
<ds:datastoreItem xmlns:ds="http://schemas.openxmlformats.org/officeDocument/2006/customXml" ds:itemID="{D30AE2F9-5E7E-4A57-90A0-4FC7E6AD7FBB}">
  <ds:schemaRefs/>
</ds:datastoreItem>
</file>

<file path=customXml/itemProps19.xml><?xml version="1.0" encoding="utf-8"?>
<ds:datastoreItem xmlns:ds="http://schemas.openxmlformats.org/officeDocument/2006/customXml" ds:itemID="{32266796-8EA4-47C8-B40F-AA745909A0FB}">
  <ds:schemaRefs/>
</ds:datastoreItem>
</file>

<file path=customXml/itemProps20.xml><?xml version="1.0" encoding="utf-8"?>
<ds:datastoreItem xmlns:ds="http://schemas.openxmlformats.org/officeDocument/2006/customXml" ds:itemID="{7BE50F94-98EF-46D3-9289-C9710D37D6A5}">
  <ds:schemaRefs/>
</ds:datastoreItem>
</file>

<file path=customXml/itemProps21.xml><?xml version="1.0" encoding="utf-8"?>
<ds:datastoreItem xmlns:ds="http://schemas.openxmlformats.org/officeDocument/2006/customXml" ds:itemID="{E415FC2D-31B8-4A55-903D-9738F374DFA7}">
  <ds:schemaRefs/>
</ds:datastoreItem>
</file>

<file path=customXml/itemProps22.xml><?xml version="1.0" encoding="utf-8"?>
<ds:datastoreItem xmlns:ds="http://schemas.openxmlformats.org/officeDocument/2006/customXml" ds:itemID="{0FD3DCA0-9645-4937-BBB3-976EB5F44E1F}">
  <ds:schemaRefs/>
</ds:datastoreItem>
</file>

<file path=customXml/itemProps23.xml><?xml version="1.0" encoding="utf-8"?>
<ds:datastoreItem xmlns:ds="http://schemas.openxmlformats.org/officeDocument/2006/customXml" ds:itemID="{8C8C2688-362C-48FC-A7E1-DBBF987621A7}">
  <ds:schemaRefs/>
</ds:datastoreItem>
</file>

<file path=customXml/itemProps24.xml><?xml version="1.0" encoding="utf-8"?>
<ds:datastoreItem xmlns:ds="http://schemas.openxmlformats.org/officeDocument/2006/customXml" ds:itemID="{614622DA-B591-4746-ACBA-3B5198CF8A32}">
  <ds:schemaRefs/>
</ds:datastoreItem>
</file>

<file path=customXml/itemProps25.xml><?xml version="1.0" encoding="utf-8"?>
<ds:datastoreItem xmlns:ds="http://schemas.openxmlformats.org/officeDocument/2006/customXml" ds:itemID="{05CB754C-E40D-4861-BD5F-7FD824D06DCE}">
  <ds:schemaRefs/>
</ds:datastoreItem>
</file>

<file path=customXml/itemProps26.xml><?xml version="1.0" encoding="utf-8"?>
<ds:datastoreItem xmlns:ds="http://schemas.openxmlformats.org/officeDocument/2006/customXml" ds:itemID="{E5ECBDDB-E85E-4299-9A34-1BD557B33A8F}">
  <ds:schemaRefs/>
</ds:datastoreItem>
</file>

<file path=customXml/itemProps27.xml><?xml version="1.0" encoding="utf-8"?>
<ds:datastoreItem xmlns:ds="http://schemas.openxmlformats.org/officeDocument/2006/customXml" ds:itemID="{06F22681-5A11-4AD3-84FA-1D3E5117B78F}">
  <ds:schemaRefs/>
</ds:datastoreItem>
</file>

<file path=customXml/itemProps28.xml><?xml version="1.0" encoding="utf-8"?>
<ds:datastoreItem xmlns:ds="http://schemas.openxmlformats.org/officeDocument/2006/customXml" ds:itemID="{3579DBCF-7C17-4AD1-B44D-D2BCDF0065B6}">
  <ds:schemaRefs/>
</ds:datastoreItem>
</file>

<file path=customXml/itemProps29.xml><?xml version="1.0" encoding="utf-8"?>
<ds:datastoreItem xmlns:ds="http://schemas.openxmlformats.org/officeDocument/2006/customXml" ds:itemID="{5CC33ACF-C845-4F04-BCA9-3723CEE5DF93}">
  <ds:schemaRefs/>
</ds:datastoreItem>
</file>

<file path=customXml/itemProps30.xml><?xml version="1.0" encoding="utf-8"?>
<ds:datastoreItem xmlns:ds="http://schemas.openxmlformats.org/officeDocument/2006/customXml" ds:itemID="{86EA6CA0-0B6A-42BE-9D6F-9CE7DB84C5D4}">
  <ds:schemaRefs/>
</ds:datastoreItem>
</file>

<file path=customXml/itemProps31.xml><?xml version="1.0" encoding="utf-8"?>
<ds:datastoreItem xmlns:ds="http://schemas.openxmlformats.org/officeDocument/2006/customXml" ds:itemID="{04A41F10-FEBF-4000-A9A5-E437A90C745A}">
  <ds:schemaRefs/>
</ds:datastoreItem>
</file>

<file path=customXml/itemProps32.xml><?xml version="1.0" encoding="utf-8"?>
<ds:datastoreItem xmlns:ds="http://schemas.openxmlformats.org/officeDocument/2006/customXml" ds:itemID="{74CA8729-8C9D-46A5-9C63-DCFF6AEC8D4E}">
  <ds:schemaRefs/>
</ds:datastoreItem>
</file>

<file path=customXml/itemProps33.xml><?xml version="1.0" encoding="utf-8"?>
<ds:datastoreItem xmlns:ds="http://schemas.openxmlformats.org/officeDocument/2006/customXml" ds:itemID="{EEE3DDCE-3BAD-4DEF-BA22-EE82B602E26D}">
  <ds:schemaRefs/>
</ds:datastoreItem>
</file>

<file path=customXml/itemProps34.xml><?xml version="1.0" encoding="utf-8"?>
<ds:datastoreItem xmlns:ds="http://schemas.openxmlformats.org/officeDocument/2006/customXml" ds:itemID="{7E6BB3DB-ECD3-4DB0-99F4-18E2F303A433}">
  <ds:schemaRefs/>
</ds:datastoreItem>
</file>

<file path=customXml/itemProps35.xml><?xml version="1.0" encoding="utf-8"?>
<ds:datastoreItem xmlns:ds="http://schemas.openxmlformats.org/officeDocument/2006/customXml" ds:itemID="{B6B8F804-D97C-43E6-A08E-8ACF57C33386}">
  <ds:schemaRefs/>
</ds:datastoreItem>
</file>

<file path=customXml/itemProps36.xml><?xml version="1.0" encoding="utf-8"?>
<ds:datastoreItem xmlns:ds="http://schemas.openxmlformats.org/officeDocument/2006/customXml" ds:itemID="{3AF00298-A50A-48EC-8FBA-1CE65F5C1C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Hechos</vt:lpstr>
      <vt:lpstr>Dim_Clientes</vt:lpstr>
      <vt:lpstr>Dim_Productos</vt:lpstr>
      <vt:lpstr>Tablas_Dinamicas</vt:lpstr>
      <vt:lpstr>Dashboard_ Final</vt:lpstr>
      <vt:lpstr>Apoyo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YESICA DEL CORRAL</dc:creator>
  <cp:lastModifiedBy>YESICA DEL CORRAL</cp:lastModifiedBy>
  <dcterms:created xsi:type="dcterms:W3CDTF">2026-10-16T19:25:37Z</dcterms:created>
  <dcterms:modified xsi:type="dcterms:W3CDTF">2026-10-28T22:31:44Z</dcterms:modified>
</cp:coreProperties>
</file>